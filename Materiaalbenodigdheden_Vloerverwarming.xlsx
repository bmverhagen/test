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Regeling-keuze" sheetId="2" state="visible" r:id="rId2"/>
    <sheet name="Boodschappenlijst" sheetId="3" state="visible" r:id="rId3"/>
    <sheet name="Tado-aansluiting" sheetId="4" state="visible" r:id="rId4"/>
    <sheet name="Bestelchecklist" sheetId="5" state="visible" r:id="rId5"/>
  </sheets>
  <definedNames>
    <definedName name="_xlnm._FilterDatabase" localSheetId="2" hidden="1">'Boodschappenlijst'!$A$6:$R$25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12">
    <font>
      <name val="Calibri"/>
      <family val="2"/>
      <color theme="1"/>
      <sz val="11"/>
      <scheme val="minor"/>
    </font>
    <font>
      <name val="Calibri"/>
      <b val="1"/>
      <color rgb="001B4F72"/>
      <sz val="16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1"/>
    </font>
    <font>
      <name val="Calibri"/>
      <b val="1"/>
      <color rgb="002874A6"/>
      <sz val="12"/>
    </font>
    <font>
      <name val="Calibri"/>
      <b val="1"/>
      <color rgb="00FFFFFF"/>
      <sz val="11"/>
    </font>
    <font>
      <b val="1"/>
    </font>
    <font>
      <name val="Calibri"/>
      <b val="1"/>
      <color rgb="00196F3D"/>
      <sz val="10"/>
    </font>
    <font>
      <b val="1"/>
      <sz val="12"/>
    </font>
    <font>
      <b val="1"/>
      <color rgb="001B4F72"/>
    </font>
    <font>
      <name val="Calibri"/>
      <color rgb="00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D5F5E3"/>
      </patternFill>
    </fill>
    <fill>
      <patternFill patternType="solid">
        <fgColor rgb="00D4E6F1"/>
      </patternFill>
    </fill>
    <fill>
      <patternFill patternType="solid">
        <fgColor rgb="00ABEBC6"/>
      </patternFill>
    </fill>
    <fill>
      <patternFill patternType="solid">
        <fgColor rgb="00FCF3C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0" pivotButton="0" quotePrefix="0" xfId="0"/>
    <xf numFmtId="0" fontId="0" fillId="3" borderId="1" pivotButton="0" quotePrefix="0" xfId="0"/>
    <xf numFmtId="0" fontId="5" fillId="4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7" fillId="3" borderId="1" pivotButton="0" quotePrefix="0" xfId="0"/>
    <xf numFmtId="0" fontId="8" fillId="5" borderId="1" pivotButton="0" quotePrefix="0" xfId="0"/>
    <xf numFmtId="0" fontId="5" fillId="0" borderId="0" pivotButton="0" quotePrefix="0" xfId="0"/>
    <xf numFmtId="0" fontId="9" fillId="6" borderId="1" pivotButton="0" quotePrefix="0" xfId="0"/>
    <xf numFmtId="0" fontId="1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0" fillId="3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164" fontId="8" fillId="5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7" fillId="0" borderId="0" pivotButton="0" quotePrefix="0" xfId="0"/>
    <xf numFmtId="164" fontId="0" fillId="5" borderId="0" pivotButton="0" quotePrefix="0" xfId="0"/>
    <xf numFmtId="164" fontId="9" fillId="3" borderId="1" pivotButton="0" quotePrefix="0" xfId="0"/>
    <xf numFmtId="164" fontId="9" fillId="5" borderId="1" pivotButton="0" quotePrefix="0" xfId="0"/>
    <xf numFmtId="164" fontId="9" fillId="6" borderId="1" pivotButton="0" quotePrefix="0" xfId="0"/>
    <xf numFmtId="0" fontId="0" fillId="4" borderId="1" pivotButton="0" quotePrefix="0" xfId="0"/>
    <xf numFmtId="164" fontId="0" fillId="0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elektramat.nl/magnum-slimfit-12-bevestigingsmat-vloerverwarming-3-75-m2-5-stuks-van-75x100cm-w61012/" TargetMode="External" Id="rId1" /><Relationship Type="http://schemas.openxmlformats.org/officeDocument/2006/relationships/hyperlink" Target="https://123installatiematerialen.nl/magnum-tube-vloerverwarmingsbuis-pe-rt-12-x-15-300-meter/" TargetMode="External" Id="rId2" /><Relationship Type="http://schemas.openxmlformats.org/officeDocument/2006/relationships/hyperlink" Target="https://www.elektramat.nl/magnum-adaptor-euroconus-aansluitkoppeling-12x1-5mm-x-3-4-2-stuks-w90012/" TargetMode="External" Id="rId3" /><Relationship Type="http://schemas.openxmlformats.org/officeDocument/2006/relationships/hyperlink" Target="https://123installatiematerialen.nl/90-bochtondersteuning-buismaat-o-10-12mm-2-stuks/" TargetMode="External" Id="rId4" /><Relationship Type="http://schemas.openxmlformats.org/officeDocument/2006/relationships/hyperlink" Target="https://www.elektramat.nl/magnum-contactlijm-voor-verlijmen-magnum-verlegsystemen-w61027/" TargetMode="External" Id="rId5" /><Relationship Type="http://schemas.openxmlformats.org/officeDocument/2006/relationships/hyperlink" Target="https://www.vloerverwarmingzelfleggen.nl/product/randisolatie-25-meter-met-plakrand-folie/" TargetMode="External" Id="rId6" /><Relationship Type="http://schemas.openxmlformats.org/officeDocument/2006/relationships/hyperlink" Target="https://egalinexxl.nl/products/kreisel-gruntolit-w-301-voorstrijk-5l" TargetMode="External" Id="rId7" /><Relationship Type="http://schemas.openxmlformats.org/officeDocument/2006/relationships/hyperlink" Target="https://egalinexxl.nl/products/kreisel-418-vezelversterkte-egalisatie-25kg-1-50mm" TargetMode="External" Id="rId8" /><Relationship Type="http://schemas.openxmlformats.org/officeDocument/2006/relationships/hyperlink" Target="https://vloerverwarmingshop.nl/shop/product/vte-slim-verdeler-grundfos-a-label-4-groeps" TargetMode="External" Id="rId9" /><Relationship Type="http://schemas.openxmlformats.org/officeDocument/2006/relationships/hyperlink" Target="https://www.elektramat.nl/bonfix-meerlagenbuis-alu-pers-systeembuis-16mm-x-2-0mm-op-rol-25-meter-2002715/" TargetMode="External" Id="rId10" /><Relationship Type="http://schemas.openxmlformats.org/officeDocument/2006/relationships/hyperlink" Target="https://online-vloerverwarming.nl/kogelkraan-set-1-rvs-verdeler/" TargetMode="External" Id="rId11" /><Relationship Type="http://schemas.openxmlformats.org/officeDocument/2006/relationships/hyperlink" Target="https://benem.nl/lovak-thermische-motor-nc-230-v-m30-x-1-5.html" TargetMode="External" Id="rId12" /><Relationship Type="http://schemas.openxmlformats.org/officeDocument/2006/relationships/hyperlink" Target="https://www.gamma.nl/assortiment/elektra/elektradraad-en-kabel" TargetMode="External" Id="rId13" /><Relationship Type="http://schemas.openxmlformats.org/officeDocument/2006/relationships/hyperlink" Target="https://123installatiematerialen.nl/magnum-h64-set-bedraad-controlcenter-master-thermostaat-wifi/" TargetMode="External" Id="rId14" /><Relationship Type="http://schemas.openxmlformats.org/officeDocument/2006/relationships/hyperlink" Target="https://123installatiematerialen.nl/magnum-h64-st-bedraad-slave-thermostaat/" TargetMode="External" Id="rId15" /><Relationship Type="http://schemas.openxmlformats.org/officeDocument/2006/relationships/hyperlink" Target="https://shop.tado.com/nl-bx/products/wireless-smart-thermostat-x-starter-kit" TargetMode="External" Id="rId16" /><Relationship Type="http://schemas.openxmlformats.org/officeDocument/2006/relationships/hyperlink" Target="https://shop.tado.com/nl-bx/products/smart-thermostat-x-starter-kit-1" TargetMode="External" Id="rId17" /><Relationship Type="http://schemas.openxmlformats.org/officeDocument/2006/relationships/hyperlink" Target="https://shop.tado.com/nl-bx/products/smart-thermostat-x-wired" TargetMode="External" Id="rId18" /><Relationship Type="http://schemas.openxmlformats.org/officeDocument/2006/relationships/hyperlink" Target="https://www.coolblue.nl/thermostaten/tado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6" customWidth="1" min="3" max="3"/>
  </cols>
  <sheetData>
    <row r="1">
      <c r="A1" s="1" t="inlineStr">
        <is>
          <t>Materiaallijst – goedkoopste optie ≤ 1 week leverbaar</t>
        </is>
      </c>
    </row>
    <row r="2">
      <c r="A2" s="2" t="inlineStr">
        <is>
          <t>Prijzen gecontroleerd aug 2026. Alleen shops met levering binnen 7 dagen. Besparing t.o.v. eerdere lijst.</t>
        </is>
      </c>
    </row>
    <row r="4" ht="22" customHeight="1">
      <c r="A4" s="3" t="inlineStr">
        <is>
          <t>KOPJE: Vloerverwarming</t>
        </is>
      </c>
      <c r="B4" s="4" t="n"/>
      <c r="C4" s="4" t="n"/>
    </row>
    <row r="5">
      <c r="A5" s="5" t="inlineStr">
        <is>
          <t>Gekozen regeling</t>
        </is>
      </c>
      <c r="B5" s="6">
        <f>'Regeling-keuze'!B4</f>
        <v/>
      </c>
    </row>
    <row r="7">
      <c r="A7" s="7" t="inlineStr">
        <is>
          <t>Nieuwe totalen (goedkoopst ≤1 week)</t>
        </is>
      </c>
    </row>
    <row r="8">
      <c r="A8" s="8" t="inlineStr">
        <is>
          <t>Optie</t>
        </is>
      </c>
      <c r="B8" s="8" t="inlineStr">
        <is>
          <t>Nieuw totaal</t>
        </is>
      </c>
      <c r="C8" s="8" t="inlineStr">
        <is>
          <t>Was / besparing</t>
        </is>
      </c>
    </row>
    <row r="9">
      <c r="A9" s="9" t="inlineStr">
        <is>
          <t>Basis (zonder thermostaat-keuze)</t>
        </is>
      </c>
      <c r="B9" s="10" t="n">
        <v>1954.28</v>
      </c>
      <c r="C9" s="11" t="inlineStr">
        <is>
          <t>Was € 2156.42 → bespaar € 202.14</t>
        </is>
      </c>
    </row>
    <row r="10">
      <c r="A10" s="9" t="inlineStr">
        <is>
          <t>+ Tado draadloos (3 ruimten)</t>
        </is>
      </c>
      <c r="B10" s="10" t="n">
        <v>2341.28</v>
      </c>
      <c r="C10" s="11" t="inlineStr">
        <is>
          <t>Was € 2543.42 → bespaar € 202.14</t>
        </is>
      </c>
    </row>
    <row r="11">
      <c r="A11" s="9" t="inlineStr">
        <is>
          <t>+ Tado bedraad (3 ruimten)</t>
        </is>
      </c>
      <c r="B11" s="10" t="n">
        <v>2284.27</v>
      </c>
      <c r="C11" s="11" t="inlineStr">
        <is>
          <t>Was € 2486.41 → bespaar € 202.14</t>
        </is>
      </c>
    </row>
    <row r="12">
      <c r="A12" s="9" t="inlineStr">
        <is>
          <t>+ Magnum H64</t>
        </is>
      </c>
      <c r="B12" s="10" t="n">
        <v>2273.86</v>
      </c>
      <c r="C12" s="11" t="inlineStr">
        <is>
          <t>Was € 2497.32 → bespaar € 223.46</t>
        </is>
      </c>
    </row>
    <row r="14">
      <c r="A14" s="12" t="inlineStr">
        <is>
          <t>Grootste besparingen</t>
        </is>
      </c>
    </row>
    <row r="15">
      <c r="A15" t="inlineStr">
        <is>
          <t>• Verdeler: Magnum €406 → VTE SLIM €306 (−€101)</t>
        </is>
      </c>
    </row>
    <row r="16">
      <c r="A16" t="inlineStr">
        <is>
          <t>• Buis 300 m: Elektramat €182 → 123 €143 (−€39)</t>
        </is>
      </c>
    </row>
    <row r="17">
      <c r="A17" t="inlineStr">
        <is>
          <t>• Actuators 4×: Magnum €80 → Lovak €56 (−€24)</t>
        </is>
      </c>
    </row>
    <row r="18">
      <c r="A18" t="inlineStr">
        <is>
          <t>• H64-set + slaves goedkoper bij 123InstallatieMaterialen</t>
        </is>
      </c>
    </row>
    <row r="19">
      <c r="A19" s="2" t="inlineStr">
        <is>
          <t>Let op: controleer levertijd opnieuw bij bestellen; prijzen wijzigen.</t>
        </is>
      </c>
    </row>
  </sheetData>
  <mergeCells count="4">
    <mergeCell ref="A1:C1"/>
    <mergeCell ref="A4:C4"/>
    <mergeCell ref="A2:C2"/>
    <mergeCell ref="A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36" customWidth="1" min="5" max="5"/>
  </cols>
  <sheetData>
    <row r="1" ht="22" customHeight="1">
      <c r="A1" s="3" t="inlineStr">
        <is>
          <t>KOPJE: Vloerverwarming — regeling kiezen</t>
        </is>
      </c>
      <c r="B1" s="4" t="n"/>
      <c r="C1" s="4" t="n"/>
      <c r="D1" s="4" t="n"/>
      <c r="E1" s="4" t="n"/>
    </row>
    <row r="2">
      <c r="A2" s="1" t="inlineStr">
        <is>
          <t>Kies 1 regeling (niet H64 én Tado tegelijk)</t>
        </is>
      </c>
    </row>
    <row r="4">
      <c r="A4" s="5" t="inlineStr">
        <is>
          <t>Kies hier je regeling →</t>
        </is>
      </c>
      <c r="B4" s="13" t="inlineStr">
        <is>
          <t>Tado bedraad (3 ruimten)</t>
        </is>
      </c>
    </row>
    <row r="5">
      <c r="B5">
        <f>B4</f>
        <v/>
      </c>
    </row>
    <row r="6">
      <c r="A6" s="2" t="inlineStr">
        <is>
          <t>Tado bedraad is nu de goedkoopste complete optie (zie Overzicht).</t>
        </is>
      </c>
    </row>
    <row r="8">
      <c r="A8" s="8" t="inlineStr">
        <is>
          <t>Onderdeel</t>
        </is>
      </c>
      <c r="B8" s="8" t="inlineStr">
        <is>
          <t>Tado draadloos</t>
        </is>
      </c>
      <c r="C8" s="8" t="inlineStr">
        <is>
          <t>Tado bedraad</t>
        </is>
      </c>
      <c r="D8" s="8" t="inlineStr">
        <is>
          <t>Magnum H64</t>
        </is>
      </c>
      <c r="E8" s="8" t="inlineStr">
        <is>
          <t>Toelichting</t>
        </is>
      </c>
    </row>
    <row r="9">
      <c r="A9" s="9" t="inlineStr">
        <is>
          <t>Totaal project</t>
        </is>
      </c>
      <c r="B9" s="9" t="inlineStr">
        <is>
          <t>€ 2341.28</t>
        </is>
      </c>
      <c r="C9" s="9" t="inlineStr">
        <is>
          <t>€ 2284.27</t>
        </is>
      </c>
      <c r="D9" s="9" t="inlineStr">
        <is>
          <t>€ 2273.86</t>
        </is>
      </c>
      <c r="E9" s="9" t="inlineStr">
        <is>
          <t>Goedkoopste shops ≤1 week</t>
        </is>
      </c>
    </row>
    <row r="10">
      <c r="A10" s="9" t="inlineStr">
        <is>
          <t>Regeling-hardware</t>
        </is>
      </c>
      <c r="B10" s="9" t="inlineStr">
        <is>
          <t>3× starter €387</t>
        </is>
      </c>
      <c r="C10" s="9" t="inlineStr">
        <is>
          <t>Starter+2× €330</t>
        </is>
      </c>
      <c r="D10" s="9" t="inlineStr">
        <is>
          <t>H64+2 slaves €320</t>
        </is>
      </c>
      <c r="E10" s="9" t="inlineStr"/>
    </row>
    <row r="11">
      <c r="A11" s="9" t="inlineStr">
        <is>
          <t>Actuators</t>
        </is>
      </c>
      <c r="B11" s="9" t="inlineStr">
        <is>
          <t>4× Lovak €56</t>
        </is>
      </c>
      <c r="C11" s="9" t="inlineStr">
        <is>
          <t>4× Lovak €56</t>
        </is>
      </c>
      <c r="D11" s="9" t="inlineStr">
        <is>
          <t>4× Lovak €56</t>
        </is>
      </c>
      <c r="E11" s="9" t="inlineStr">
        <is>
          <t>M30×1,5 NC 230V</t>
        </is>
      </c>
    </row>
  </sheetData>
  <mergeCells count="1">
    <mergeCell ref="A1:E1"/>
  </mergeCells>
  <dataValidations count="1">
    <dataValidation sqref="B4" showDropDown="0" showInputMessage="0" showErrorMessage="0" allowBlank="0" type="list">
      <formula1>"Tado draadloos (3 ruimten),Tado bedraad (3 ruimten),Magnum H64"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4" customWidth="1" min="2" max="2"/>
    <col width="12" customWidth="1" min="3" max="3"/>
    <col width="12" customWidth="1" min="4" max="4"/>
    <col width="42" customWidth="1" min="5" max="5"/>
    <col width="14" customWidth="1" min="6" max="6"/>
    <col width="32" customWidth="1" min="7" max="7"/>
    <col width="32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6" customWidth="1" min="15" max="15"/>
    <col width="18" customWidth="1" min="16" max="16"/>
    <col width="38" customWidth="1" min="17" max="17"/>
    <col width="32" customWidth="1" min="18" max="18"/>
  </cols>
  <sheetData>
    <row r="1">
      <c r="A1" s="1" t="inlineStr">
        <is>
          <t>Boodschappenlijst – goedkoopste optie per product (≤ 1 week leverbaar)</t>
        </is>
      </c>
    </row>
    <row r="2">
      <c r="A2" s="2" t="inlineStr">
        <is>
          <t>Kolom 'Was' = eerdere prijs. Groene 'Besparing' = voordeel. Filter op Kopje = Vloerverwarming.</t>
        </is>
      </c>
    </row>
    <row r="3">
      <c r="A3" s="5" t="inlineStr">
        <is>
          <t>Actieve regeling</t>
        </is>
      </c>
      <c r="B3" s="6">
        <f>'Regeling-keuze'!B4</f>
        <v/>
      </c>
    </row>
    <row r="5" ht="22" customHeight="1">
      <c r="A5" s="3" t="inlineStr">
        <is>
          <t>KOPJE: Vloerverwarming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6" ht="36" customHeight="1">
      <c r="A6" s="8" t="inlineStr">
        <is>
          <t>Kopje</t>
        </is>
      </c>
      <c r="B6" s="8" t="inlineStr">
        <is>
          <t>Nr</t>
        </is>
      </c>
      <c r="C6" s="8" t="inlineStr">
        <is>
          <t>Keuze</t>
        </is>
      </c>
      <c r="D6" s="8" t="inlineStr">
        <is>
          <t>Categorie</t>
        </is>
      </c>
      <c r="E6" s="8" t="inlineStr">
        <is>
          <t>Benodigd artikel</t>
        </is>
      </c>
      <c r="F6" s="8" t="inlineStr">
        <is>
          <t>Artikelnr</t>
        </is>
      </c>
      <c r="G6" s="8" t="inlineStr">
        <is>
          <t>Omschrijving product</t>
        </is>
      </c>
      <c r="H6" s="8" t="inlineStr">
        <is>
          <t>Waarvoor nodig</t>
        </is>
      </c>
      <c r="I6" s="8" t="inlineStr">
        <is>
          <t>Hoeveelheid</t>
        </is>
      </c>
      <c r="J6" s="8" t="inlineStr">
        <is>
          <t>Eenheid</t>
        </is>
      </c>
      <c r="K6" s="8" t="inlineStr">
        <is>
          <t>Prijs/eenheid</t>
        </is>
      </c>
      <c r="L6" s="8" t="inlineStr">
        <is>
          <t>Was/eenheid</t>
        </is>
      </c>
      <c r="M6" s="8" t="inlineStr">
        <is>
          <t>Besparing/st</t>
        </is>
      </c>
      <c r="N6" s="8" t="inlineStr">
        <is>
          <t>Totaal</t>
        </is>
      </c>
      <c r="O6" s="8" t="inlineStr">
        <is>
          <t>Levertijd</t>
        </is>
      </c>
      <c r="P6" s="8" t="inlineStr">
        <is>
          <t>Webshop</t>
        </is>
      </c>
      <c r="Q6" s="8" t="inlineStr">
        <is>
          <t>Product-URL</t>
        </is>
      </c>
      <c r="R6" s="8" t="inlineStr">
        <is>
          <t>Prijsvergelijking</t>
        </is>
      </c>
    </row>
    <row r="7" ht="58" customHeight="1">
      <c r="A7" s="14" t="inlineStr">
        <is>
          <t>Vloerverwarming</t>
        </is>
      </c>
      <c r="B7" s="15" t="n">
        <v>1</v>
      </c>
      <c r="C7" s="15" t="inlineStr">
        <is>
          <t>altijd</t>
        </is>
      </c>
      <c r="D7" s="15" t="inlineStr">
        <is>
          <t>Bevestiging</t>
        </is>
      </c>
      <c r="E7" s="15" t="inlineStr">
        <is>
          <t>MAGNUM SlimFit 12 bevestigingsmat 3,75 m²</t>
        </is>
      </c>
      <c r="F7" s="15" t="inlineStr">
        <is>
          <t>W61012</t>
        </is>
      </c>
      <c r="G7" s="15" t="inlineStr">
        <is>
          <t>Kunststof klikmatten 5×75×100 cm = 3,75 m², opbouw ~14 mm.</t>
        </is>
      </c>
      <c r="H7" s="15" t="inlineStr">
        <is>
          <t>Basislaag voor buizen over ±30 m².</t>
        </is>
      </c>
      <c r="I7" s="16" t="n">
        <v>8</v>
      </c>
      <c r="J7" s="15" t="inlineStr">
        <is>
          <t>pak</t>
        </is>
      </c>
      <c r="K7" s="17" t="n">
        <v>86.94</v>
      </c>
      <c r="L7" s="18" t="n">
        <v>86.94</v>
      </c>
      <c r="M7" s="18" t="n">
        <v>0</v>
      </c>
      <c r="N7" s="19" t="n">
        <v>695.52</v>
      </c>
      <c r="O7" s="15" t="inlineStr">
        <is>
          <t>1 werkdag</t>
        </is>
      </c>
      <c r="P7" s="15" t="inlineStr">
        <is>
          <t>Elektramat</t>
        </is>
      </c>
      <c r="Q7" s="20" t="inlineStr">
        <is>
          <t>https://www.elektramat.nl/magnum-slimfit-12-bevestigingsmat-vloerverwarming-3-75-m2-5-stuks-van-75x100cm-w61012/</t>
        </is>
      </c>
      <c r="R7" s="15" t="inlineStr">
        <is>
          <t>Goedkoopste met 1 werkdag: Elektramat (123=€88,99 / VVD=€89)</t>
        </is>
      </c>
    </row>
    <row r="8" ht="58" customHeight="1">
      <c r="A8" s="14" t="inlineStr">
        <is>
          <t>Vloerverwarming</t>
        </is>
      </c>
      <c r="B8" s="15" t="n">
        <v>2</v>
      </c>
      <c r="C8" s="15" t="inlineStr">
        <is>
          <t>altijd</t>
        </is>
      </c>
      <c r="D8" s="15" t="inlineStr">
        <is>
          <t>Buis</t>
        </is>
      </c>
      <c r="E8" s="15" t="inlineStr">
        <is>
          <t>MAGNUM PE-RT buis 12×1,5 mm – rol 300 m</t>
        </is>
      </c>
      <c r="F8" s="15" t="inlineStr">
        <is>
          <t>W12300</t>
        </is>
      </c>
      <c r="G8" s="15" t="inlineStr">
        <is>
          <t>5-laags PE-RT ø12 mm, KOMO, zuurstofdicht.</t>
        </is>
      </c>
      <c r="H8" s="15" t="inlineStr">
        <is>
          <t>4 verwarmingscircuits leggen.</t>
        </is>
      </c>
      <c r="I8" s="16" t="n">
        <v>1</v>
      </c>
      <c r="J8" s="15" t="inlineStr">
        <is>
          <t>rol</t>
        </is>
      </c>
      <c r="K8" s="17" t="n">
        <v>142.93</v>
      </c>
      <c r="L8" s="18" t="n">
        <v>181.86</v>
      </c>
      <c r="M8" s="21" t="n">
        <v>38.93</v>
      </c>
      <c r="N8" s="19" t="n">
        <v>142.93</v>
      </c>
      <c r="O8" s="15" t="inlineStr">
        <is>
          <t>Morgen in huis (v. 14:30)</t>
        </is>
      </c>
      <c r="P8" s="15" t="inlineStr">
        <is>
          <t>123InstallatieMaterialen</t>
        </is>
      </c>
      <c r="Q8" s="20" t="inlineStr">
        <is>
          <t>https://123installatiematerialen.nl/magnum-tube-vloerverwarmingsbuis-pe-rt-12-x-15-300-meter/</t>
        </is>
      </c>
      <c r="R8" s="15" t="inlineStr">
        <is>
          <t>Was €181,86 bij Elektramat → nu €142,93</t>
        </is>
      </c>
    </row>
    <row r="9" ht="58" customHeight="1">
      <c r="A9" s="14" t="inlineStr">
        <is>
          <t>Vloerverwarming</t>
        </is>
      </c>
      <c r="B9" s="15" t="n">
        <v>3</v>
      </c>
      <c r="C9" s="15" t="inlineStr">
        <is>
          <t>altijd</t>
        </is>
      </c>
      <c r="D9" s="15" t="inlineStr">
        <is>
          <t>Aansluiting</t>
        </is>
      </c>
      <c r="E9" s="15" t="inlineStr">
        <is>
          <t>MAGNUM Euroconus 12×1,5 mm × ¾″ (set van 2)</t>
        </is>
      </c>
      <c r="F9" s="15" t="inlineStr">
        <is>
          <t>W90012</t>
        </is>
      </c>
      <c r="G9" s="15" t="inlineStr">
        <is>
          <t>Knelkoppeling buis ↔ verdeler, set = 2 stuks.</t>
        </is>
      </c>
      <c r="H9" s="15" t="inlineStr">
        <is>
          <t>1 set per groep (aanvoer+retour).</t>
        </is>
      </c>
      <c r="I9" s="16" t="n">
        <v>4</v>
      </c>
      <c r="J9" s="15" t="inlineStr">
        <is>
          <t>set</t>
        </is>
      </c>
      <c r="K9" s="17" t="n">
        <v>4.69</v>
      </c>
      <c r="L9" s="18" t="n">
        <v>4.69</v>
      </c>
      <c r="M9" s="18" t="n">
        <v>0</v>
      </c>
      <c r="N9" s="19" t="n">
        <v>18.76</v>
      </c>
      <c r="O9" s="15" t="inlineStr">
        <is>
          <t>1 werkdag</t>
        </is>
      </c>
      <c r="P9" s="15" t="inlineStr">
        <is>
          <t>Elektramat</t>
        </is>
      </c>
      <c r="Q9" s="20" t="inlineStr">
        <is>
          <t>https://www.elektramat.nl/magnum-adaptor-euroconus-aansluitkoppeling-12x1-5mm-x-3-4-2-stuks-w90012/</t>
        </is>
      </c>
      <c r="R9" s="15" t="inlineStr">
        <is>
          <t>Goedkoopste: Elektramat €4,69 (123=€5,97)</t>
        </is>
      </c>
    </row>
    <row r="10" ht="58" customHeight="1">
      <c r="A10" s="14" t="inlineStr">
        <is>
          <t>Vloerverwarming</t>
        </is>
      </c>
      <c r="B10" s="15" t="n">
        <v>4</v>
      </c>
      <c r="C10" s="15" t="inlineStr">
        <is>
          <t>altijd</t>
        </is>
      </c>
      <c r="D10" s="15" t="inlineStr">
        <is>
          <t>Aansluiting</t>
        </is>
      </c>
      <c r="E10" s="15" t="inlineStr">
        <is>
          <t>MAGNUM 90° bochtondersteuning ø10–12 mm (set van 2)</t>
        </is>
      </c>
      <c r="F10" s="15" t="inlineStr">
        <is>
          <t>W90125</t>
        </is>
      </c>
      <c r="G10" s="15" t="inlineStr">
        <is>
          <t>Geleider 90° zonder knikken.</t>
        </is>
      </c>
      <c r="H10" s="15" t="inlineStr">
        <is>
          <t>Bij opgang verdeler → vloer (8 stuks).</t>
        </is>
      </c>
      <c r="I10" s="16" t="n">
        <v>4</v>
      </c>
      <c r="J10" s="15" t="inlineStr">
        <is>
          <t>set</t>
        </is>
      </c>
      <c r="K10" s="17" t="n">
        <v>1.18</v>
      </c>
      <c r="L10" s="18" t="n">
        <v>1.18</v>
      </c>
      <c r="M10" s="18" t="n">
        <v>0</v>
      </c>
      <c r="N10" s="19" t="n">
        <v>4.72</v>
      </c>
      <c r="O10" s="15" t="inlineStr">
        <is>
          <t>Morgen in huis (v. 14:30)</t>
        </is>
      </c>
      <c r="P10" s="15" t="inlineStr">
        <is>
          <t>123InstallatieMaterialen</t>
        </is>
      </c>
      <c r="Q10" s="20" t="inlineStr">
        <is>
          <t>https://123installatiematerialen.nl/90-bochtondersteuning-buismaat-o-10-12mm-2-stuks/</t>
        </is>
      </c>
      <c r="R10" s="15" t="inlineStr">
        <is>
          <t>Goedkoopste: 123 €1,18/set</t>
        </is>
      </c>
    </row>
    <row r="11" ht="58" customHeight="1">
      <c r="A11" s="14" t="inlineStr">
        <is>
          <t>Vloerverwarming</t>
        </is>
      </c>
      <c r="B11" s="15" t="n">
        <v>5</v>
      </c>
      <c r="C11" s="15" t="inlineStr">
        <is>
          <t>altijd</t>
        </is>
      </c>
      <c r="D11" s="15" t="inlineStr">
        <is>
          <t>Bevestiging</t>
        </is>
      </c>
      <c r="E11" s="15" t="inlineStr">
        <is>
          <t>MAGNUM Contactlijm 500 ml</t>
        </is>
      </c>
      <c r="F11" s="15" t="inlineStr">
        <is>
          <t>W61027</t>
        </is>
      </c>
      <c r="G11" s="15" t="inlineStr">
        <is>
          <t>Spuitlijm SlimFit, ±1 bus / 5 m².</t>
        </is>
      </c>
      <c r="H11" s="15" t="inlineStr">
        <is>
          <t>Matten vast op ondervloer.</t>
        </is>
      </c>
      <c r="I11" s="16" t="n">
        <v>6</v>
      </c>
      <c r="J11" s="15" t="inlineStr">
        <is>
          <t>bus</t>
        </is>
      </c>
      <c r="K11" s="17" t="n">
        <v>9.050000000000001</v>
      </c>
      <c r="L11" s="18" t="n">
        <v>9.050000000000001</v>
      </c>
      <c r="M11" s="18" t="n">
        <v>0</v>
      </c>
      <c r="N11" s="19" t="n">
        <v>54.3</v>
      </c>
      <c r="O11" s="15" t="inlineStr">
        <is>
          <t>1 werkdag</t>
        </is>
      </c>
      <c r="P11" s="15" t="inlineStr">
        <is>
          <t>Elektramat</t>
        </is>
      </c>
      <c r="Q11" s="20" t="inlineStr">
        <is>
          <t>https://www.elektramat.nl/magnum-contactlijm-voor-verlijmen-magnum-verlegsystemen-w61027/</t>
        </is>
      </c>
      <c r="R11" s="15" t="inlineStr">
        <is>
          <t>Goedkoopste: Elektramat €9,05 (123=€10,35)</t>
        </is>
      </c>
    </row>
    <row r="12" ht="58" customHeight="1">
      <c r="A12" s="14" t="inlineStr">
        <is>
          <t>Vloerverwarming</t>
        </is>
      </c>
      <c r="B12" s="15" t="n">
        <v>6</v>
      </c>
      <c r="C12" s="15" t="inlineStr">
        <is>
          <t>altijd</t>
        </is>
      </c>
      <c r="D12" s="15" t="inlineStr">
        <is>
          <t>Isolatie</t>
        </is>
      </c>
      <c r="E12" s="15" t="inlineStr">
        <is>
          <t>Randisolatie 8×150 mm met plakrand/folie – rol 25 m</t>
        </is>
      </c>
      <c r="F12" s="15" t="inlineStr">
        <is>
          <t>Distriheat</t>
        </is>
      </c>
      <c r="G12" s="15" t="inlineStr">
        <is>
          <t>PE-schuim 8×150 mm, 25 m, plakstrip + folie.</t>
        </is>
      </c>
      <c r="H12" s="15" t="inlineStr">
        <is>
          <t>Rondom muren, 75 m totaal.</t>
        </is>
      </c>
      <c r="I12" s="16" t="n">
        <v>3</v>
      </c>
      <c r="J12" s="15" t="inlineStr">
        <is>
          <t>rol</t>
        </is>
      </c>
      <c r="K12" s="17" t="n">
        <v>15.62</v>
      </c>
      <c r="L12" s="18" t="n">
        <v>16.9</v>
      </c>
      <c r="M12" s="21" t="n">
        <v>1.28</v>
      </c>
      <c r="N12" s="19" t="n">
        <v>46.86</v>
      </c>
      <c r="O12" s="15" t="inlineStr">
        <is>
          <t>≤ 1 week (vaak 1–3 wd)</t>
        </is>
      </c>
      <c r="P12" s="15" t="inlineStr">
        <is>
          <t>Vloerverwarmingzelfleggen</t>
        </is>
      </c>
      <c r="Q12" s="20" t="inlineStr">
        <is>
          <t>https://www.vloerverwarmingzelfleggen.nl/product/randisolatie-25-meter-met-plakrand-folie/</t>
        </is>
      </c>
      <c r="R12" s="15" t="inlineStr">
        <is>
          <t>Was €16,90 → nu €15,62</t>
        </is>
      </c>
    </row>
    <row r="13" ht="58" customHeight="1">
      <c r="A13" s="14" t="inlineStr">
        <is>
          <t>Vloerverwarming</t>
        </is>
      </c>
      <c r="B13" s="15" t="n">
        <v>7</v>
      </c>
      <c r="C13" s="15" t="inlineStr">
        <is>
          <t>altijd</t>
        </is>
      </c>
      <c r="D13" s="15" t="inlineStr">
        <is>
          <t>Egalisatie</t>
        </is>
      </c>
      <c r="E13" s="15" t="inlineStr">
        <is>
          <t>Kreisel Gruntolit-W 301 voorstrijk 5 L</t>
        </is>
      </c>
      <c r="F13" s="15" t="inlineStr">
        <is>
          <t>Gruntolit-W 301</t>
        </is>
      </c>
      <c r="G13" s="15" t="inlineStr">
        <is>
          <t>Hechtprimer waterbasis, 5 L.</t>
        </is>
      </c>
      <c r="H13" s="15" t="inlineStr">
        <is>
          <t>Onder egaline, 10 L totaal.</t>
        </is>
      </c>
      <c r="I13" s="16" t="n">
        <v>2</v>
      </c>
      <c r="J13" s="15" t="inlineStr">
        <is>
          <t>bus 5L</t>
        </is>
      </c>
      <c r="K13" s="17" t="n">
        <v>9.289999999999999</v>
      </c>
      <c r="L13" s="18" t="n">
        <v>9.289999999999999</v>
      </c>
      <c r="M13" s="18" t="n">
        <v>0</v>
      </c>
      <c r="N13" s="19" t="n">
        <v>18.58</v>
      </c>
      <c r="O13" s="15" t="inlineStr">
        <is>
          <t>2–5 werkdagen (≤1 week)</t>
        </is>
      </c>
      <c r="P13" s="15" t="inlineStr">
        <is>
          <t>EgalineXXL</t>
        </is>
      </c>
      <c r="Q13" s="20" t="inlineStr">
        <is>
          <t>https://egalinexxl.nl/products/kreisel-gruntolit-w-301-voorstrijk-5l</t>
        </is>
      </c>
      <c r="R13" s="15" t="inlineStr">
        <is>
          <t>Goedkoopste losse prijs; RBMB goedkoper per stuk bij 5+ maar jij hebt 2 nodig</t>
        </is>
      </c>
    </row>
    <row r="14" ht="58" customHeight="1">
      <c r="A14" s="14" t="inlineStr">
        <is>
          <t>Vloerverwarming</t>
        </is>
      </c>
      <c r="B14" s="15" t="n">
        <v>8</v>
      </c>
      <c r="C14" s="15" t="inlineStr">
        <is>
          <t>altijd</t>
        </is>
      </c>
      <c r="D14" s="15" t="inlineStr">
        <is>
          <t>Egalisatie</t>
        </is>
      </c>
      <c r="E14" s="15" t="inlineStr">
        <is>
          <t>Kreisel 418 vezelversterkte egaline 25 kg</t>
        </is>
      </c>
      <c r="F14" s="15" t="inlineStr">
        <is>
          <t>418</t>
        </is>
      </c>
      <c r="G14" s="15" t="inlineStr">
        <is>
          <t>Zelfnivellerend 1–50 mm, vezel, VV-geschikt.</t>
        </is>
      </c>
      <c r="H14" s="15" t="inlineStr">
        <is>
          <t>Inbedden matten/buizen.</t>
        </is>
      </c>
      <c r="I14" s="16" t="n">
        <v>33</v>
      </c>
      <c r="J14" s="15" t="inlineStr">
        <is>
          <t>zak</t>
        </is>
      </c>
      <c r="K14" s="17" t="n">
        <v>14.87</v>
      </c>
      <c r="L14" s="18" t="n">
        <v>14.87</v>
      </c>
      <c r="M14" s="18" t="n">
        <v>0</v>
      </c>
      <c r="N14" s="19" t="n">
        <v>490.71</v>
      </c>
      <c r="O14" s="15" t="inlineStr">
        <is>
          <t>2–5 werkdagen (≤1 week)</t>
        </is>
      </c>
      <c r="P14" s="15" t="inlineStr">
        <is>
          <t>EgalineXXL</t>
        </is>
      </c>
      <c r="Q14" s="20" t="inlineStr">
        <is>
          <t>https://egalinexxl.nl/products/kreisel-418-vezelversterkte-egalisatie-25kg-1-50mm</t>
        </is>
      </c>
      <c r="R14" s="15" t="inlineStr">
        <is>
          <t>Goedkoopste bij 33 zakken (RBMB staffel pas vanaf 41)</t>
        </is>
      </c>
    </row>
    <row r="15" ht="58" customHeight="1">
      <c r="A15" s="14" t="inlineStr">
        <is>
          <t>Vloerverwarming</t>
        </is>
      </c>
      <c r="B15" s="15" t="n">
        <v>9</v>
      </c>
      <c r="C15" s="15" t="inlineStr">
        <is>
          <t>altijd</t>
        </is>
      </c>
      <c r="D15" s="15" t="inlineStr">
        <is>
          <t>Verdeler</t>
        </is>
      </c>
      <c r="E15" s="15" t="inlineStr">
        <is>
          <t>VTE SLIM 4-groeps mengverdeler + Grundfos A-label pomp</t>
        </is>
      </c>
      <c r="F15" s="15" t="inlineStr">
        <is>
          <t>VTE-SLIM-4</t>
        </is>
      </c>
      <c r="G15" s="15" t="inlineStr">
        <is>
          <t>Gesloten mengverdeler 4 groepen, Grundfos A-pomp, HT+LT. Euroconus groepen.</t>
        </is>
      </c>
      <c r="H15" s="15" t="inlineStr">
        <is>
          <t>Vervangt duurdere Magnum Basic (€406). Capaciteit hoofdverw. tot ±40 m² → past bij 30 m².</t>
        </is>
      </c>
      <c r="I15" s="16" t="n">
        <v>1</v>
      </c>
      <c r="J15" s="15" t="inlineStr">
        <is>
          <t>st</t>
        </is>
      </c>
      <c r="K15" s="17" t="n">
        <v>305.95</v>
      </c>
      <c r="L15" s="18" t="n">
        <v>406.52</v>
      </c>
      <c r="M15" s="21" t="n">
        <v>100.57</v>
      </c>
      <c r="N15" s="19" t="n">
        <v>305.95</v>
      </c>
      <c r="O15" s="15" t="inlineStr">
        <is>
          <t>2–5 werkdagen (≤1 week)</t>
        </is>
      </c>
      <c r="P15" s="15" t="inlineStr">
        <is>
          <t>Vloerverwarmingshop</t>
        </is>
      </c>
      <c r="Q15" s="20" t="inlineStr">
        <is>
          <t>https://vloerverwarmingshop.nl/shop/product/vte-slim-verdeler-grundfos-a-label-4-groeps</t>
        </is>
      </c>
      <c r="R15" s="15" t="inlineStr">
        <is>
          <t>Was Magnum €406,52 → VTE SLIM €305,95. Alt: CVTotaal €318</t>
        </is>
      </c>
    </row>
    <row r="16" ht="58" customHeight="1">
      <c r="A16" s="14" t="inlineStr">
        <is>
          <t>Vloerverwarming</t>
        </is>
      </c>
      <c r="B16" s="15" t="n">
        <v>10</v>
      </c>
      <c r="C16" s="15" t="inlineStr">
        <is>
          <t>altijd</t>
        </is>
      </c>
      <c r="D16" s="15" t="inlineStr">
        <is>
          <t>CV-aansluiting</t>
        </is>
      </c>
      <c r="E16" s="15" t="inlineStr">
        <is>
          <t>Aanvoer + retourleiding (meerlagenbuis 16×2)</t>
        </is>
      </c>
      <c r="F16" s="15" t="inlineStr">
        <is>
          <t>—</t>
        </is>
      </c>
      <c r="G16" s="15" t="inlineStr">
        <is>
          <t>Leiding cv/wp → verdeler. Richtprijs per meter.</t>
        </is>
      </c>
      <c r="H16" s="15" t="inlineStr">
        <is>
          <t>Afstand afhankelijk; pas meters aan.</t>
        </is>
      </c>
      <c r="I16" s="16" t="n">
        <v>10</v>
      </c>
      <c r="J16" s="15" t="inlineStr">
        <is>
          <t>m</t>
        </is>
      </c>
      <c r="K16" s="17" t="n">
        <v>6.5</v>
      </c>
      <c r="L16" s="18" t="n">
        <v>8.5</v>
      </c>
      <c r="M16" s="21" t="n">
        <v>2</v>
      </c>
      <c r="N16" s="19" t="n">
        <v>65</v>
      </c>
      <c r="O16" s="15" t="inlineStr">
        <is>
          <t>1–3 werkdagen</t>
        </is>
      </c>
      <c r="P16" s="15" t="inlineStr">
        <is>
          <t>Elektramat / bouwmarkt</t>
        </is>
      </c>
      <c r="Q16" s="20" t="inlineStr">
        <is>
          <t>https://www.elektramat.nl/bonfix-meerlagenbuis-alu-pers-systeembuis-16mm-x-2-0mm-op-rol-25-meter-2002715/</t>
        </is>
      </c>
      <c r="R16" s="15" t="inlineStr">
        <is>
          <t>Richtprijs verlaagd; check actuele m-prijs bij bestelling</t>
        </is>
      </c>
    </row>
    <row r="17" ht="58" customHeight="1">
      <c r="A17" s="14" t="inlineStr">
        <is>
          <t>Vloerverwarming</t>
        </is>
      </c>
      <c r="B17" s="15" t="n">
        <v>11</v>
      </c>
      <c r="C17" s="15" t="inlineStr">
        <is>
          <t>altijd</t>
        </is>
      </c>
      <c r="D17" s="15" t="inlineStr">
        <is>
          <t>CV-aansluiting</t>
        </is>
      </c>
      <c r="E17" s="15" t="inlineStr">
        <is>
          <t>Kogelkranen / koppelingen set (indien niet op verdeler)</t>
        </is>
      </c>
      <c r="F17" s="15" t="inlineStr">
        <is>
          <t>—</t>
        </is>
      </c>
      <c r="G17" s="15" t="inlineStr">
        <is>
          <t>Afsluitset voor primaire aansluiting.</t>
        </is>
      </c>
      <c r="H17" s="15" t="inlineStr">
        <is>
          <t>Check of VTE SLIM al afsluiters heeft; anders bestellen.</t>
        </is>
      </c>
      <c r="I17" s="16" t="n">
        <v>1</v>
      </c>
      <c r="J17" s="15" t="inlineStr">
        <is>
          <t>set</t>
        </is>
      </c>
      <c r="K17" s="17" t="n">
        <v>34.95</v>
      </c>
      <c r="L17" s="18" t="n">
        <v>34.95</v>
      </c>
      <c r="M17" s="18" t="n">
        <v>0</v>
      </c>
      <c r="N17" s="19" t="n">
        <v>34.95</v>
      </c>
      <c r="O17" s="15" t="inlineStr">
        <is>
          <t>1–3 werkdagen</t>
        </is>
      </c>
      <c r="P17" s="15" t="inlineStr">
        <is>
          <t>Online-vloerverwarming</t>
        </is>
      </c>
      <c r="Q17" s="20" t="inlineStr">
        <is>
          <t>https://online-vloerverwarming.nl/kogelkraan-set-1-rvs-verdeler/</t>
        </is>
      </c>
      <c r="R17" s="15" t="inlineStr">
        <is>
          <t>Prijs stabiel; Magnum Basic had dit vaak inbegrepen</t>
        </is>
      </c>
    </row>
    <row r="18" ht="58" customHeight="1">
      <c r="A18" s="14" t="inlineStr">
        <is>
          <t>Vloerverwarming</t>
        </is>
      </c>
      <c r="B18" s="15" t="n">
        <v>12</v>
      </c>
      <c r="C18" s="15" t="inlineStr">
        <is>
          <t>altijd</t>
        </is>
      </c>
      <c r="D18" s="15" t="inlineStr">
        <is>
          <t>Actuators</t>
        </is>
      </c>
      <c r="E18" s="15" t="inlineStr">
        <is>
          <t>Lovak thermische motor 230V NC M30×1,5</t>
        </is>
      </c>
      <c r="F18" s="15" t="inlineStr">
        <is>
          <t>B102700</t>
        </is>
      </c>
      <c r="G18" s="15" t="inlineStr">
        <is>
          <t>Universele 230V NC actuator M30×1,5 – past op VTE/Magnum groepsventielen.</t>
        </is>
      </c>
      <c r="H18" s="15" t="inlineStr">
        <is>
          <t>1 per groep; bij Tado/H64 zones parallel schakelen per kamer.</t>
        </is>
      </c>
      <c r="I18" s="16" t="n">
        <v>4</v>
      </c>
      <c r="J18" s="15" t="inlineStr">
        <is>
          <t>st</t>
        </is>
      </c>
      <c r="K18" s="17" t="n">
        <v>14</v>
      </c>
      <c r="L18" s="18" t="n">
        <v>19.95</v>
      </c>
      <c r="M18" s="21" t="n">
        <v>5.95</v>
      </c>
      <c r="N18" s="19" t="n">
        <v>56</v>
      </c>
      <c r="O18" s="15" t="inlineStr">
        <is>
          <t>≤ 1 week (check actuele levertijd)</t>
        </is>
      </c>
      <c r="P18" s="15" t="inlineStr">
        <is>
          <t>Benem</t>
        </is>
      </c>
      <c r="Q18" s="20" t="inlineStr">
        <is>
          <t>https://benem.nl/lovak-thermische-motor-nc-230-v-m30-x-1-5.html</t>
        </is>
      </c>
      <c r="R18" s="15" t="inlineStr">
        <is>
          <t>Was Magnum MW-A €19,95 → Lovak €14. Alt: Livolo €18,95</t>
        </is>
      </c>
    </row>
    <row r="19" ht="58" customHeight="1">
      <c r="A19" s="14" t="inlineStr">
        <is>
          <t>Vloerverwarming</t>
        </is>
      </c>
      <c r="B19" s="15" t="n">
        <v>13</v>
      </c>
      <c r="C19" s="15" t="inlineStr">
        <is>
          <t>altijd</t>
        </is>
      </c>
      <c r="D19" s="15" t="inlineStr">
        <is>
          <t>Elektra</t>
        </is>
      </c>
      <c r="E19" s="15" t="inlineStr">
        <is>
          <t>Elektrakabel 230V / signaalkabel</t>
        </is>
      </c>
      <c r="F19" s="15" t="inlineStr">
        <is>
          <t>—</t>
        </is>
      </c>
      <c r="G19" s="15" t="inlineStr">
        <is>
          <t>VD/YMvK + signaaldraad.</t>
        </is>
      </c>
      <c r="H19" s="15" t="inlineStr">
        <is>
          <t>Voeding pomp/regeling/actuators.</t>
        </is>
      </c>
      <c r="I19" s="16" t="n">
        <v>1</v>
      </c>
      <c r="J19" s="15" t="inlineStr">
        <is>
          <t>kleinmateriaal</t>
        </is>
      </c>
      <c r="K19" s="17" t="n">
        <v>20</v>
      </c>
      <c r="L19" s="18" t="n">
        <v>35</v>
      </c>
      <c r="M19" s="21" t="n">
        <v>15</v>
      </c>
      <c r="N19" s="19" t="n">
        <v>20</v>
      </c>
      <c r="O19" s="15" t="inlineStr">
        <is>
          <t>Direct</t>
        </is>
      </c>
      <c r="P19" s="15" t="inlineStr">
        <is>
          <t>Bouwmarkt (Gamma/Praxis)</t>
        </is>
      </c>
      <c r="Q19" s="20" t="inlineStr">
        <is>
          <t>https://www.gamma.nl/assortiment/elektra/elektradraad-en-kabel</t>
        </is>
      </c>
      <c r="R19" s="15" t="inlineStr">
        <is>
          <t>Bouwmarkt-richtprijs verlaagd</t>
        </is>
      </c>
    </row>
    <row r="20" ht="58" customHeight="1">
      <c r="A20" s="14" t="inlineStr">
        <is>
          <t>Vloerverwarming</t>
        </is>
      </c>
      <c r="B20" s="15" t="n">
        <v>14</v>
      </c>
      <c r="C20" s="16" t="inlineStr">
        <is>
          <t>h64</t>
        </is>
      </c>
      <c r="D20" s="15" t="inlineStr">
        <is>
          <t>Regeling H64</t>
        </is>
      </c>
      <c r="E20" s="15" t="inlineStr">
        <is>
          <t>MAGNUM H64-CC + master WiFi-thermostaat</t>
        </is>
      </c>
      <c r="F20" s="15" t="inlineStr">
        <is>
          <t>W81000/W81004</t>
        </is>
      </c>
      <c r="G20" s="15" t="inlineStr">
        <is>
          <t>Regelunit 8 zones + master WiFi.</t>
        </is>
      </c>
      <c r="H20" s="15" t="inlineStr">
        <is>
          <t>Alleen bij keuze H64 (niet bij Tado).</t>
        </is>
      </c>
      <c r="I20" s="16" t="n">
        <v>1</v>
      </c>
      <c r="J20" s="15" t="inlineStr">
        <is>
          <t>set</t>
        </is>
      </c>
      <c r="K20" s="17" t="n">
        <v>213.74</v>
      </c>
      <c r="L20" s="18" t="n">
        <v>225</v>
      </c>
      <c r="M20" s="21" t="n">
        <v>11.26</v>
      </c>
      <c r="N20" s="19" t="n">
        <v>213.74</v>
      </c>
      <c r="O20" s="15" t="inlineStr">
        <is>
          <t>Morgen in huis (v. 14:30)</t>
        </is>
      </c>
      <c r="P20" s="15" t="inlineStr">
        <is>
          <t>123InstallatieMaterialen</t>
        </is>
      </c>
      <c r="Q20" s="20" t="inlineStr">
        <is>
          <t>https://123installatiematerialen.nl/magnum-h64-set-bedraad-controlcenter-master-thermostaat-wifi/</t>
        </is>
      </c>
      <c r="R20" s="15" t="inlineStr">
        <is>
          <t>Was €225 → nu €213,74</t>
        </is>
      </c>
    </row>
    <row r="21" ht="58" customHeight="1">
      <c r="A21" s="14" t="inlineStr">
        <is>
          <t>Vloerverwarming</t>
        </is>
      </c>
      <c r="B21" s="15" t="n">
        <v>15</v>
      </c>
      <c r="C21" s="16" t="inlineStr">
        <is>
          <t>h64</t>
        </is>
      </c>
      <c r="D21" s="15" t="inlineStr">
        <is>
          <t>Regeling H64</t>
        </is>
      </c>
      <c r="E21" s="15" t="inlineStr">
        <is>
          <t>MAGNUM H64-ST slave thermostaat</t>
        </is>
      </c>
      <c r="F21" s="15" t="inlineStr">
        <is>
          <t>W81003</t>
        </is>
      </c>
      <c r="G21" s="15" t="inlineStr">
        <is>
          <t>Bedrade slave-klokthermostaat.</t>
        </is>
      </c>
      <c r="H21" s="15" t="inlineStr">
        <is>
          <t>Ruimte 2 en 3 bij H64.</t>
        </is>
      </c>
      <c r="I21" s="16" t="n">
        <v>2</v>
      </c>
      <c r="J21" s="15" t="inlineStr">
        <is>
          <t>st</t>
        </is>
      </c>
      <c r="K21" s="17" t="n">
        <v>52.92</v>
      </c>
      <c r="L21" s="18" t="n">
        <v>57.95</v>
      </c>
      <c r="M21" s="21" t="n">
        <v>5.03</v>
      </c>
      <c r="N21" s="19" t="n">
        <v>105.84</v>
      </c>
      <c r="O21" s="15" t="inlineStr">
        <is>
          <t>Morgen in huis (v. 14:30)</t>
        </is>
      </c>
      <c r="P21" s="15" t="inlineStr">
        <is>
          <t>123InstallatieMaterialen</t>
        </is>
      </c>
      <c r="Q21" s="20" t="inlineStr">
        <is>
          <t>https://123installatiematerialen.nl/magnum-h64-st-bedraad-slave-thermostaat/</t>
        </is>
      </c>
      <c r="R21" s="15" t="inlineStr">
        <is>
          <t>Was €57,95 → nu €52,92</t>
        </is>
      </c>
    </row>
    <row r="22" ht="58" customHeight="1">
      <c r="A22" s="14" t="inlineStr">
        <is>
          <t>Vloerverwarming</t>
        </is>
      </c>
      <c r="B22" s="15" t="n">
        <v>16</v>
      </c>
      <c r="C22" s="22" t="inlineStr">
        <is>
          <t>tado_draadloos</t>
        </is>
      </c>
      <c r="D22" s="15" t="inlineStr">
        <is>
          <t>Regeling Tado</t>
        </is>
      </c>
      <c r="E22" s="15" t="inlineStr">
        <is>
          <t>tado° Draadloze Slimme Thermostaat X Starterskit</t>
        </is>
      </c>
      <c r="F22" s="15" t="inlineStr">
        <is>
          <t>Wireless X Starter</t>
        </is>
      </c>
      <c r="G22" s="15" t="inlineStr">
        <is>
          <t>Ontvanger X + Temperatuursensor X per zone.</t>
        </is>
      </c>
      <c r="H22" s="15" t="inlineStr">
        <is>
          <t>3 ruimten apart (draadloos).</t>
        </is>
      </c>
      <c r="I22" s="16" t="n">
        <v>3</v>
      </c>
      <c r="J22" s="15" t="inlineStr">
        <is>
          <t>set</t>
        </is>
      </c>
      <c r="K22" s="17" t="n">
        <v>129</v>
      </c>
      <c r="L22" s="18" t="n">
        <v>129</v>
      </c>
      <c r="M22" s="18" t="n">
        <v>0</v>
      </c>
      <c r="N22" s="19" t="n">
        <v>387</v>
      </c>
      <c r="O22" s="15" t="inlineStr">
        <is>
          <t>2–4 werkdagen (≤1 week)</t>
        </is>
      </c>
      <c r="P22" s="15" t="inlineStr">
        <is>
          <t>tado° Shop</t>
        </is>
      </c>
      <c r="Q22" s="20" t="inlineStr">
        <is>
          <t>https://shop.tado.com/nl-bx/products/wireless-smart-thermostat-x-starter-kit</t>
        </is>
      </c>
      <c r="R22" s="15" t="inlineStr">
        <is>
          <t>Goedkoopste: tado° Shop €129 (Coolblue vaak €194)</t>
        </is>
      </c>
    </row>
    <row r="23" ht="58" customHeight="1">
      <c r="A23" s="14" t="inlineStr">
        <is>
          <t>Vloerverwarming</t>
        </is>
      </c>
      <c r="B23" s="15" t="n">
        <v>17</v>
      </c>
      <c r="C23" s="22" t="inlineStr">
        <is>
          <t>tado_bedraad</t>
        </is>
      </c>
      <c r="D23" s="15" t="inlineStr">
        <is>
          <t>Regeling Tado</t>
        </is>
      </c>
      <c r="E23" s="15" t="inlineStr">
        <is>
          <t>tado° Slimme Thermostaat X Starterskit bedraad + Bridge X</t>
        </is>
      </c>
      <c r="F23" s="15" t="inlineStr">
        <is>
          <t>Wired X Starter</t>
        </is>
      </c>
      <c r="G23" s="15" t="inlineStr">
        <is>
          <t>Bedrade thermostaat X + Bridge X.</t>
        </is>
      </c>
      <c r="H23" s="15" t="inlineStr">
        <is>
          <t>Kamer 1 + internetverbinding.</t>
        </is>
      </c>
      <c r="I23" s="16" t="n">
        <v>1</v>
      </c>
      <c r="J23" s="15" t="inlineStr">
        <is>
          <t>set</t>
        </is>
      </c>
      <c r="K23" s="17" t="n">
        <v>129.99</v>
      </c>
      <c r="L23" s="18" t="n">
        <v>129.99</v>
      </c>
      <c r="M23" s="18" t="n">
        <v>0</v>
      </c>
      <c r="N23" s="19" t="n">
        <v>129.99</v>
      </c>
      <c r="O23" s="15" t="inlineStr">
        <is>
          <t>2–4 werkdagen (≤1 week)</t>
        </is>
      </c>
      <c r="P23" s="15" t="inlineStr">
        <is>
          <t>tado° Shop</t>
        </is>
      </c>
      <c r="Q23" s="20" t="inlineStr">
        <is>
          <t>https://shop.tado.com/nl-bx/products/smart-thermostat-x-starter-kit-1</t>
        </is>
      </c>
      <c r="R23" s="15" t="inlineStr">
        <is>
          <t>Goedkoopste: tado° Shop €129,99</t>
        </is>
      </c>
    </row>
    <row r="24" ht="58" customHeight="1">
      <c r="A24" s="14" t="inlineStr">
        <is>
          <t>Vloerverwarming</t>
        </is>
      </c>
      <c r="B24" s="15" t="n">
        <v>18</v>
      </c>
      <c r="C24" s="22" t="inlineStr">
        <is>
          <t>tado_bedraad</t>
        </is>
      </c>
      <c r="D24" s="15" t="inlineStr">
        <is>
          <t>Regeling Tado</t>
        </is>
      </c>
      <c r="E24" s="15" t="inlineStr">
        <is>
          <t>tado° Slimme Thermostaat X bedraad (uitbreiding)</t>
        </is>
      </c>
      <c r="F24" s="15" t="inlineStr">
        <is>
          <t>Smart Thermostat X</t>
        </is>
      </c>
      <c r="G24" s="15" t="inlineStr">
        <is>
          <t>Extra bedrade thermostaat zonder Bridge.</t>
        </is>
      </c>
      <c r="H24" s="15" t="inlineStr">
        <is>
          <t>Kamer 2 en 3.</t>
        </is>
      </c>
      <c r="I24" s="16" t="n">
        <v>2</v>
      </c>
      <c r="J24" s="15" t="inlineStr">
        <is>
          <t>st</t>
        </is>
      </c>
      <c r="K24" s="17" t="n">
        <v>100</v>
      </c>
      <c r="L24" s="18" t="n">
        <v>100</v>
      </c>
      <c r="M24" s="18" t="n">
        <v>0</v>
      </c>
      <c r="N24" s="19" t="n">
        <v>200</v>
      </c>
      <c r="O24" s="15" t="inlineStr">
        <is>
          <t>2–4 werkdagen (≤1 week)</t>
        </is>
      </c>
      <c r="P24" s="15" t="inlineStr">
        <is>
          <t>tado° Shop</t>
        </is>
      </c>
      <c r="Q24" s="20" t="inlineStr">
        <is>
          <t>https://shop.tado.com/nl-bx/products/smart-thermostat-x-wired</t>
        </is>
      </c>
      <c r="R24" s="15" t="inlineStr">
        <is>
          <t>Goedkoopste: tado° Shop €100</t>
        </is>
      </c>
    </row>
    <row r="25" ht="58" customHeight="1">
      <c r="A25" s="14" t="inlineStr">
        <is>
          <t>Vloerverwarming</t>
        </is>
      </c>
      <c r="B25" s="15" t="n">
        <v>19</v>
      </c>
      <c r="C25" s="22" t="inlineStr">
        <is>
          <t>tado_optie</t>
        </is>
      </c>
      <c r="D25" s="15" t="inlineStr">
        <is>
          <t>Regeling Tado</t>
        </is>
      </c>
      <c r="E25" s="15" t="inlineStr">
        <is>
          <t>tado° Bridge X (extra indien nodig)</t>
        </is>
      </c>
      <c r="F25" s="15" t="inlineStr">
        <is>
          <t>Bridge X</t>
        </is>
      </c>
      <c r="G25" s="15" t="inlineStr">
        <is>
          <t>Extra Thread border router.</t>
        </is>
      </c>
      <c r="H25" s="15" t="inlineStr">
        <is>
          <t>Meestal niet nodig (zit in bedrade starter / ontvanger).</t>
        </is>
      </c>
      <c r="I25" s="16" t="n">
        <v>0</v>
      </c>
      <c r="J25" s="15" t="inlineStr">
        <is>
          <t>st</t>
        </is>
      </c>
      <c r="K25" s="17" t="n">
        <v>68</v>
      </c>
      <c r="L25" s="18" t="n">
        <v>68</v>
      </c>
      <c r="M25" s="18" t="n">
        <v>0</v>
      </c>
      <c r="N25" s="19" t="n">
        <v>0</v>
      </c>
      <c r="O25" s="15" t="inlineStr">
        <is>
          <t>1–3 werkdagen</t>
        </is>
      </c>
      <c r="P25" s="15" t="inlineStr">
        <is>
          <t>Coolblue / tado°</t>
        </is>
      </c>
      <c r="Q25" s="20" t="inlineStr">
        <is>
          <t>https://www.coolblue.nl/thermostaten/tado</t>
        </is>
      </c>
      <c r="R25" s="15" t="inlineStr">
        <is>
          <t>Qty=0 standaard</t>
        </is>
      </c>
    </row>
    <row r="27" ht="22" customHeight="1">
      <c r="A27" s="3" t="inlineStr">
        <is>
          <t>KOPJE: (nog leeg – later andere kopjes)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</row>
    <row r="29">
      <c r="J29" s="23" t="inlineStr">
        <is>
          <t>Vloerverwarming + Tado DRAADLOOS</t>
        </is>
      </c>
      <c r="M29" s="24" t="n">
        <v>202.14</v>
      </c>
      <c r="N29" s="25" t="n">
        <v>2341.28</v>
      </c>
    </row>
    <row r="30">
      <c r="J30" s="23" t="inlineStr">
        <is>
          <t>Vloerverwarming + Tado BEDRAAD (goedkoopst)</t>
        </is>
      </c>
      <c r="M30" s="24" t="n">
        <v>202.14</v>
      </c>
      <c r="N30" s="26" t="n">
        <v>2284.27</v>
      </c>
    </row>
    <row r="31">
      <c r="J31" s="23" t="inlineStr">
        <is>
          <t>Vloerverwarming + Magnum H64</t>
        </is>
      </c>
      <c r="M31" s="24" t="n">
        <v>223.46</v>
      </c>
      <c r="N31" s="27" t="n">
        <v>2273.86</v>
      </c>
    </row>
    <row r="33">
      <c r="A33" s="2" t="inlineStr">
        <is>
          <t>Criterium: goedkoopste optie die binnen 1 week geleverd kan worden (op voorraad / 1–5 werkdagen). Prijzen incl. BTW, excl. verzendkosten (vaak gratis vanaf €150–€200).</t>
        </is>
      </c>
    </row>
  </sheetData>
  <autoFilter ref="A6:R25"/>
  <mergeCells count="5">
    <mergeCell ref="A2:R2"/>
    <mergeCell ref="A33:R33"/>
    <mergeCell ref="A1:R1"/>
    <mergeCell ref="A5:R5"/>
    <mergeCell ref="A27:R27"/>
  </mergeCells>
  <hyperlinks>
    <hyperlink xmlns:r="http://schemas.openxmlformats.org/officeDocument/2006/relationships" ref="Q7" r:id="rId1"/>
    <hyperlink xmlns:r="http://schemas.openxmlformats.org/officeDocument/2006/relationships" ref="Q8" r:id="rId2"/>
    <hyperlink xmlns:r="http://schemas.openxmlformats.org/officeDocument/2006/relationships" ref="Q9" r:id="rId3"/>
    <hyperlink xmlns:r="http://schemas.openxmlformats.org/officeDocument/2006/relationships" ref="Q10" r:id="rId4"/>
    <hyperlink xmlns:r="http://schemas.openxmlformats.org/officeDocument/2006/relationships" ref="Q11" r:id="rId5"/>
    <hyperlink xmlns:r="http://schemas.openxmlformats.org/officeDocument/2006/relationships" ref="Q12" r:id="rId6"/>
    <hyperlink xmlns:r="http://schemas.openxmlformats.org/officeDocument/2006/relationships" ref="Q13" r:id="rId7"/>
    <hyperlink xmlns:r="http://schemas.openxmlformats.org/officeDocument/2006/relationships" ref="Q14" r:id="rId8"/>
    <hyperlink xmlns:r="http://schemas.openxmlformats.org/officeDocument/2006/relationships" ref="Q15" r:id="rId9"/>
    <hyperlink xmlns:r="http://schemas.openxmlformats.org/officeDocument/2006/relationships" ref="Q16" r:id="rId10"/>
    <hyperlink xmlns:r="http://schemas.openxmlformats.org/officeDocument/2006/relationships" ref="Q17" r:id="rId11"/>
    <hyperlink xmlns:r="http://schemas.openxmlformats.org/officeDocument/2006/relationships" ref="Q18" r:id="rId12"/>
    <hyperlink xmlns:r="http://schemas.openxmlformats.org/officeDocument/2006/relationships" ref="Q19" r:id="rId13"/>
    <hyperlink xmlns:r="http://schemas.openxmlformats.org/officeDocument/2006/relationships" ref="Q20" r:id="rId14"/>
    <hyperlink xmlns:r="http://schemas.openxmlformats.org/officeDocument/2006/relationships" ref="Q21" r:id="rId15"/>
    <hyperlink xmlns:r="http://schemas.openxmlformats.org/officeDocument/2006/relationships" ref="Q22" r:id="rId16"/>
    <hyperlink xmlns:r="http://schemas.openxmlformats.org/officeDocument/2006/relationships" ref="Q23" r:id="rId17"/>
    <hyperlink xmlns:r="http://schemas.openxmlformats.org/officeDocument/2006/relationships" ref="Q24" r:id="rId18"/>
    <hyperlink xmlns:r="http://schemas.openxmlformats.org/officeDocument/2006/relationships" ref="Q25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8" customWidth="1" min="3" max="3"/>
    <col width="28" customWidth="1" min="4" max="4"/>
  </cols>
  <sheetData>
    <row r="1" ht="22" customHeight="1">
      <c r="A1" s="3" t="inlineStr">
        <is>
          <t>KOPJE: Vloerverwarming — Tado-aansluiting</t>
        </is>
      </c>
      <c r="B1" s="4" t="n"/>
      <c r="C1" s="4" t="n"/>
      <c r="D1" s="4" t="n"/>
    </row>
    <row r="2">
      <c r="A2" s="1" t="inlineStr">
        <is>
          <t>3 ruimten op 4-groeps VTE SLIM-verdeler</t>
        </is>
      </c>
    </row>
    <row r="4">
      <c r="A4" s="8" t="inlineStr">
        <is>
          <t>Ruimte</t>
        </is>
      </c>
      <c r="B4" s="8" t="inlineStr">
        <is>
          <t>Groepen</t>
        </is>
      </c>
      <c r="C4" s="8" t="inlineStr">
        <is>
          <t>Tado in kamer</t>
        </is>
      </c>
      <c r="D4" s="8" t="inlineStr">
        <is>
          <t>Actuators</t>
        </is>
      </c>
    </row>
    <row r="5">
      <c r="A5" s="9" t="inlineStr">
        <is>
          <t>Kamer 15 m²</t>
        </is>
      </c>
      <c r="B5" s="9" t="inlineStr">
        <is>
          <t>1+2</t>
        </is>
      </c>
      <c r="C5" s="9" t="inlineStr">
        <is>
          <t>Thermostaat/sensor X</t>
        </is>
      </c>
      <c r="D5" s="9" t="inlineStr">
        <is>
          <t>2× Lovak parallel</t>
        </is>
      </c>
    </row>
    <row r="6">
      <c r="A6" s="9" t="inlineStr">
        <is>
          <t>Studeerkamer 10 m²</t>
        </is>
      </c>
      <c r="B6" s="9" t="inlineStr">
        <is>
          <t>3</t>
        </is>
      </c>
      <c r="C6" s="9" t="inlineStr">
        <is>
          <t>Thermostaat/sensor X</t>
        </is>
      </c>
      <c r="D6" s="9" t="inlineStr">
        <is>
          <t>1× Lovak</t>
        </is>
      </c>
    </row>
    <row r="7">
      <c r="A7" s="9" t="inlineStr">
        <is>
          <t>3e ruimte</t>
        </is>
      </c>
      <c r="B7" s="9" t="inlineStr">
        <is>
          <t>4</t>
        </is>
      </c>
      <c r="C7" s="9" t="inlineStr">
        <is>
          <t>Thermostaat/sensor X</t>
        </is>
      </c>
      <c r="D7" s="9" t="inlineStr">
        <is>
          <t>1× Lovak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2" customWidth="1" min="3" max="3"/>
    <col width="20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 ht="22" customHeight="1">
      <c r="A1" s="3" t="inlineStr">
        <is>
          <t>KOPJE: Vloerverwarming — bestelchecklist</t>
        </is>
      </c>
      <c r="B1" s="4" t="n"/>
      <c r="C1" s="4" t="n"/>
      <c r="D1" s="4" t="n"/>
      <c r="E1" s="4" t="n"/>
      <c r="F1" s="4" t="n"/>
      <c r="G1" s="4" t="n"/>
      <c r="H1" s="4" t="n"/>
    </row>
    <row r="3">
      <c r="A3" s="8" t="inlineStr">
        <is>
          <t>Kopje</t>
        </is>
      </c>
      <c r="B3" s="8" t="inlineStr">
        <is>
          <t>Artikel</t>
        </is>
      </c>
      <c r="C3" s="8" t="inlineStr">
        <is>
          <t>Keuze</t>
        </is>
      </c>
      <c r="D3" s="8" t="inlineStr">
        <is>
          <t>Webshop</t>
        </is>
      </c>
      <c r="E3" s="8" t="inlineStr">
        <is>
          <t>Prijs/st</t>
        </is>
      </c>
      <c r="F3" s="8" t="inlineStr">
        <is>
          <t>Besteld?</t>
        </is>
      </c>
      <c r="G3" s="8" t="inlineStr">
        <is>
          <t>Ordernr</t>
        </is>
      </c>
      <c r="H3" s="8" t="inlineStr">
        <is>
          <t>Ontvangen?</t>
        </is>
      </c>
    </row>
    <row r="4">
      <c r="A4" s="28" t="inlineStr">
        <is>
          <t>Vloerverwarming</t>
        </is>
      </c>
      <c r="B4" s="9" t="inlineStr">
        <is>
          <t>MAGNUM SlimFit 12 bevestigingsmat 3,75 m²</t>
        </is>
      </c>
      <c r="C4" s="9" t="inlineStr">
        <is>
          <t>altijd</t>
        </is>
      </c>
      <c r="D4" s="9" t="inlineStr">
        <is>
          <t>Elektramat</t>
        </is>
      </c>
      <c r="E4" s="29" t="n">
        <v>86.94</v>
      </c>
      <c r="F4" s="30" t="inlineStr">
        <is>
          <t>Nee</t>
        </is>
      </c>
      <c r="G4" s="30" t="n"/>
      <c r="H4" s="30" t="n"/>
    </row>
    <row r="5">
      <c r="A5" s="28" t="inlineStr">
        <is>
          <t>Vloerverwarming</t>
        </is>
      </c>
      <c r="B5" s="9" t="inlineStr">
        <is>
          <t>MAGNUM PE-RT buis 12×1,5 mm – rol 300 m</t>
        </is>
      </c>
      <c r="C5" s="9" t="inlineStr">
        <is>
          <t>altijd</t>
        </is>
      </c>
      <c r="D5" s="9" t="inlineStr">
        <is>
          <t>123InstallatieMaterialen</t>
        </is>
      </c>
      <c r="E5" s="29" t="n">
        <v>142.93</v>
      </c>
      <c r="F5" s="30" t="inlineStr">
        <is>
          <t>Nee</t>
        </is>
      </c>
      <c r="G5" s="30" t="n"/>
      <c r="H5" s="30" t="n"/>
    </row>
    <row r="6">
      <c r="A6" s="28" t="inlineStr">
        <is>
          <t>Vloerverwarming</t>
        </is>
      </c>
      <c r="B6" s="9" t="inlineStr">
        <is>
          <t>MAGNUM Euroconus 12×1,5 mm × ¾″ (set van 2)</t>
        </is>
      </c>
      <c r="C6" s="9" t="inlineStr">
        <is>
          <t>altijd</t>
        </is>
      </c>
      <c r="D6" s="9" t="inlineStr">
        <is>
          <t>Elektramat</t>
        </is>
      </c>
      <c r="E6" s="29" t="n">
        <v>4.69</v>
      </c>
      <c r="F6" s="30" t="inlineStr">
        <is>
          <t>Nee</t>
        </is>
      </c>
      <c r="G6" s="30" t="n"/>
      <c r="H6" s="30" t="n"/>
    </row>
    <row r="7">
      <c r="A7" s="28" t="inlineStr">
        <is>
          <t>Vloerverwarming</t>
        </is>
      </c>
      <c r="B7" s="9" t="inlineStr">
        <is>
          <t>MAGNUM 90° bochtondersteuning ø10–12 mm (set van 2)</t>
        </is>
      </c>
      <c r="C7" s="9" t="inlineStr">
        <is>
          <t>altijd</t>
        </is>
      </c>
      <c r="D7" s="9" t="inlineStr">
        <is>
          <t>123InstallatieMaterialen</t>
        </is>
      </c>
      <c r="E7" s="29" t="n">
        <v>1.18</v>
      </c>
      <c r="F7" s="30" t="inlineStr">
        <is>
          <t>Nee</t>
        </is>
      </c>
      <c r="G7" s="30" t="n"/>
      <c r="H7" s="30" t="n"/>
    </row>
    <row r="8">
      <c r="A8" s="28" t="inlineStr">
        <is>
          <t>Vloerverwarming</t>
        </is>
      </c>
      <c r="B8" s="9" t="inlineStr">
        <is>
          <t>MAGNUM Contactlijm 500 ml</t>
        </is>
      </c>
      <c r="C8" s="9" t="inlineStr">
        <is>
          <t>altijd</t>
        </is>
      </c>
      <c r="D8" s="9" t="inlineStr">
        <is>
          <t>Elektramat</t>
        </is>
      </c>
      <c r="E8" s="29" t="n">
        <v>9.050000000000001</v>
      </c>
      <c r="F8" s="30" t="inlineStr">
        <is>
          <t>Nee</t>
        </is>
      </c>
      <c r="G8" s="30" t="n"/>
      <c r="H8" s="30" t="n"/>
    </row>
    <row r="9">
      <c r="A9" s="28" t="inlineStr">
        <is>
          <t>Vloerverwarming</t>
        </is>
      </c>
      <c r="B9" s="9" t="inlineStr">
        <is>
          <t>Randisolatie 8×150 mm met plakrand/folie – rol 25 m</t>
        </is>
      </c>
      <c r="C9" s="9" t="inlineStr">
        <is>
          <t>altijd</t>
        </is>
      </c>
      <c r="D9" s="9" t="inlineStr">
        <is>
          <t>Vloerverwarmingzelfleggen</t>
        </is>
      </c>
      <c r="E9" s="29" t="n">
        <v>15.62</v>
      </c>
      <c r="F9" s="30" t="inlineStr">
        <is>
          <t>Nee</t>
        </is>
      </c>
      <c r="G9" s="30" t="n"/>
      <c r="H9" s="30" t="n"/>
    </row>
    <row r="10">
      <c r="A10" s="28" t="inlineStr">
        <is>
          <t>Vloerverwarming</t>
        </is>
      </c>
      <c r="B10" s="9" t="inlineStr">
        <is>
          <t>Kreisel Gruntolit-W 301 voorstrijk 5 L</t>
        </is>
      </c>
      <c r="C10" s="9" t="inlineStr">
        <is>
          <t>altijd</t>
        </is>
      </c>
      <c r="D10" s="9" t="inlineStr">
        <is>
          <t>EgalineXXL</t>
        </is>
      </c>
      <c r="E10" s="29" t="n">
        <v>9.289999999999999</v>
      </c>
      <c r="F10" s="30" t="inlineStr">
        <is>
          <t>Nee</t>
        </is>
      </c>
      <c r="G10" s="30" t="n"/>
      <c r="H10" s="30" t="n"/>
    </row>
    <row r="11">
      <c r="A11" s="28" t="inlineStr">
        <is>
          <t>Vloerverwarming</t>
        </is>
      </c>
      <c r="B11" s="9" t="inlineStr">
        <is>
          <t>Kreisel 418 vezelversterkte egaline 25 kg</t>
        </is>
      </c>
      <c r="C11" s="9" t="inlineStr">
        <is>
          <t>altijd</t>
        </is>
      </c>
      <c r="D11" s="9" t="inlineStr">
        <is>
          <t>EgalineXXL</t>
        </is>
      </c>
      <c r="E11" s="29" t="n">
        <v>14.87</v>
      </c>
      <c r="F11" s="30" t="inlineStr">
        <is>
          <t>Nee</t>
        </is>
      </c>
      <c r="G11" s="30" t="n"/>
      <c r="H11" s="30" t="n"/>
    </row>
    <row r="12">
      <c r="A12" s="28" t="inlineStr">
        <is>
          <t>Vloerverwarming</t>
        </is>
      </c>
      <c r="B12" s="9" t="inlineStr">
        <is>
          <t>VTE SLIM 4-groeps mengverdeler + Grundfos A-label pomp</t>
        </is>
      </c>
      <c r="C12" s="9" t="inlineStr">
        <is>
          <t>altijd</t>
        </is>
      </c>
      <c r="D12" s="9" t="inlineStr">
        <is>
          <t>Vloerverwarmingshop</t>
        </is>
      </c>
      <c r="E12" s="29" t="n">
        <v>305.95</v>
      </c>
      <c r="F12" s="30" t="inlineStr">
        <is>
          <t>Nee</t>
        </is>
      </c>
      <c r="G12" s="30" t="n"/>
      <c r="H12" s="30" t="n"/>
    </row>
    <row r="13">
      <c r="A13" s="28" t="inlineStr">
        <is>
          <t>Vloerverwarming</t>
        </is>
      </c>
      <c r="B13" s="9" t="inlineStr">
        <is>
          <t>Aanvoer + retourleiding (meerlagenbuis 16×2)</t>
        </is>
      </c>
      <c r="C13" s="9" t="inlineStr">
        <is>
          <t>altijd</t>
        </is>
      </c>
      <c r="D13" s="9" t="inlineStr">
        <is>
          <t>Elektramat / bouwmarkt</t>
        </is>
      </c>
      <c r="E13" s="29" t="n">
        <v>6.5</v>
      </c>
      <c r="F13" s="30" t="inlineStr">
        <is>
          <t>Nee</t>
        </is>
      </c>
      <c r="G13" s="30" t="n"/>
      <c r="H13" s="30" t="n"/>
    </row>
    <row r="14">
      <c r="A14" s="28" t="inlineStr">
        <is>
          <t>Vloerverwarming</t>
        </is>
      </c>
      <c r="B14" s="9" t="inlineStr">
        <is>
          <t>Kogelkranen / koppelingen set (indien niet op verdeler)</t>
        </is>
      </c>
      <c r="C14" s="9" t="inlineStr">
        <is>
          <t>altijd</t>
        </is>
      </c>
      <c r="D14" s="9" t="inlineStr">
        <is>
          <t>Online-vloerverwarming</t>
        </is>
      </c>
      <c r="E14" s="29" t="n">
        <v>34.95</v>
      </c>
      <c r="F14" s="30" t="inlineStr">
        <is>
          <t>Nee</t>
        </is>
      </c>
      <c r="G14" s="30" t="n"/>
      <c r="H14" s="30" t="n"/>
    </row>
    <row r="15">
      <c r="A15" s="28" t="inlineStr">
        <is>
          <t>Vloerverwarming</t>
        </is>
      </c>
      <c r="B15" s="9" t="inlineStr">
        <is>
          <t>Lovak thermische motor 230V NC M30×1,5</t>
        </is>
      </c>
      <c r="C15" s="9" t="inlineStr">
        <is>
          <t>altijd</t>
        </is>
      </c>
      <c r="D15" s="9" t="inlineStr">
        <is>
          <t>Benem</t>
        </is>
      </c>
      <c r="E15" s="29" t="n">
        <v>14</v>
      </c>
      <c r="F15" s="30" t="inlineStr">
        <is>
          <t>Nee</t>
        </is>
      </c>
      <c r="G15" s="30" t="n"/>
      <c r="H15" s="30" t="n"/>
    </row>
    <row r="16">
      <c r="A16" s="28" t="inlineStr">
        <is>
          <t>Vloerverwarming</t>
        </is>
      </c>
      <c r="B16" s="9" t="inlineStr">
        <is>
          <t>Elektrakabel 230V / signaalkabel</t>
        </is>
      </c>
      <c r="C16" s="9" t="inlineStr">
        <is>
          <t>altijd</t>
        </is>
      </c>
      <c r="D16" s="9" t="inlineStr">
        <is>
          <t>Bouwmarkt (Gamma/Praxis)</t>
        </is>
      </c>
      <c r="E16" s="29" t="n">
        <v>20</v>
      </c>
      <c r="F16" s="30" t="inlineStr">
        <is>
          <t>Nee</t>
        </is>
      </c>
      <c r="G16" s="30" t="n"/>
      <c r="H16" s="30" t="n"/>
    </row>
    <row r="17">
      <c r="A17" s="28" t="inlineStr">
        <is>
          <t>Vloerverwarming</t>
        </is>
      </c>
      <c r="B17" s="9" t="inlineStr">
        <is>
          <t>MAGNUM H64-CC + master WiFi-thermostaat</t>
        </is>
      </c>
      <c r="C17" s="9" t="inlineStr">
        <is>
          <t>h64</t>
        </is>
      </c>
      <c r="D17" s="9" t="inlineStr">
        <is>
          <t>123InstallatieMaterialen</t>
        </is>
      </c>
      <c r="E17" s="29" t="n">
        <v>213.74</v>
      </c>
      <c r="F17" s="30" t="inlineStr">
        <is>
          <t>Nee</t>
        </is>
      </c>
      <c r="G17" s="30" t="n"/>
      <c r="H17" s="30" t="n"/>
    </row>
    <row r="18">
      <c r="A18" s="28" t="inlineStr">
        <is>
          <t>Vloerverwarming</t>
        </is>
      </c>
      <c r="B18" s="9" t="inlineStr">
        <is>
          <t>MAGNUM H64-ST slave thermostaat</t>
        </is>
      </c>
      <c r="C18" s="9" t="inlineStr">
        <is>
          <t>h64</t>
        </is>
      </c>
      <c r="D18" s="9" t="inlineStr">
        <is>
          <t>123InstallatieMaterialen</t>
        </is>
      </c>
      <c r="E18" s="29" t="n">
        <v>52.92</v>
      </c>
      <c r="F18" s="30" t="inlineStr">
        <is>
          <t>Nee</t>
        </is>
      </c>
      <c r="G18" s="30" t="n"/>
      <c r="H18" s="30" t="n"/>
    </row>
    <row r="19">
      <c r="A19" s="28" t="inlineStr">
        <is>
          <t>Vloerverwarming</t>
        </is>
      </c>
      <c r="B19" s="9" t="inlineStr">
        <is>
          <t>tado° Draadloze Slimme Thermostaat X Starterskit</t>
        </is>
      </c>
      <c r="C19" s="9" t="inlineStr">
        <is>
          <t>tado_draadloos</t>
        </is>
      </c>
      <c r="D19" s="9" t="inlineStr">
        <is>
          <t>tado° Shop</t>
        </is>
      </c>
      <c r="E19" s="29" t="n">
        <v>129</v>
      </c>
      <c r="F19" s="30" t="inlineStr">
        <is>
          <t>Nee</t>
        </is>
      </c>
      <c r="G19" s="30" t="n"/>
      <c r="H19" s="30" t="n"/>
    </row>
    <row r="20">
      <c r="A20" s="28" t="inlineStr">
        <is>
          <t>Vloerverwarming</t>
        </is>
      </c>
      <c r="B20" s="9" t="inlineStr">
        <is>
          <t>tado° Slimme Thermostaat X Starterskit bedraad + Bridge X</t>
        </is>
      </c>
      <c r="C20" s="9" t="inlineStr">
        <is>
          <t>tado_bedraad</t>
        </is>
      </c>
      <c r="D20" s="9" t="inlineStr">
        <is>
          <t>tado° Shop</t>
        </is>
      </c>
      <c r="E20" s="29" t="n">
        <v>129.99</v>
      </c>
      <c r="F20" s="30" t="inlineStr">
        <is>
          <t>Nee</t>
        </is>
      </c>
      <c r="G20" s="30" t="n"/>
      <c r="H20" s="30" t="n"/>
    </row>
    <row r="21">
      <c r="A21" s="28" t="inlineStr">
        <is>
          <t>Vloerverwarming</t>
        </is>
      </c>
      <c r="B21" s="9" t="inlineStr">
        <is>
          <t>tado° Slimme Thermostaat X bedraad (uitbreiding)</t>
        </is>
      </c>
      <c r="C21" s="9" t="inlineStr">
        <is>
          <t>tado_bedraad</t>
        </is>
      </c>
      <c r="D21" s="9" t="inlineStr">
        <is>
          <t>tado° Shop</t>
        </is>
      </c>
      <c r="E21" s="29" t="n">
        <v>100</v>
      </c>
      <c r="F21" s="30" t="inlineStr">
        <is>
          <t>Nee</t>
        </is>
      </c>
      <c r="G21" s="30" t="n"/>
      <c r="H21" s="30" t="n"/>
    </row>
    <row r="22">
      <c r="A22" s="28" t="inlineStr">
        <is>
          <t>Vloerverwarming</t>
        </is>
      </c>
      <c r="B22" s="9" t="inlineStr">
        <is>
          <t>tado° Bridge X (extra indien nodig)</t>
        </is>
      </c>
      <c r="C22" s="9" t="inlineStr">
        <is>
          <t>tado_optie</t>
        </is>
      </c>
      <c r="D22" s="9" t="inlineStr">
        <is>
          <t>Coolblue / tado°</t>
        </is>
      </c>
      <c r="E22" s="29" t="n">
        <v>68</v>
      </c>
      <c r="F22" s="30" t="inlineStr">
        <is>
          <t>Nee</t>
        </is>
      </c>
      <c r="G22" s="30" t="n"/>
      <c r="H22" s="30" t="n"/>
    </row>
  </sheetData>
  <mergeCells count="1">
    <mergeCell ref="A1:H1"/>
  </mergeCells>
  <dataValidations count="1">
    <dataValidation sqref="F4:F22" showDropDown="0" showInputMessage="0" showErrorMessage="0" allowBlank="0" type="list">
      <formula1>"Nee,Ja,Overslaan"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2026-08-22T16:23:45Z</dcterms:created>
  <dcterms:modified xsi:type="dcterms:W3CDTF">2026-08-22T16:23:45Z</dcterms:modified>
</cp:coreProperties>
</file>