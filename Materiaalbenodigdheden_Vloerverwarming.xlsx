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kort" sheetId="1" state="visible" r:id="rId1"/>
    <sheet name="Boodschappenlijst" sheetId="2" state="visible" r:id="rId2"/>
    <sheet name="Bestelchecklist" sheetId="3" state="visible" r:id="rId3"/>
  </sheets>
  <definedNames>
    <definedName name="_xlnm._FilterDatabase" localSheetId="1" hidden="1">'Boodschappenlijst'!$A$5:$L$20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9">
    <font>
      <name val="Calibri"/>
      <family val="2"/>
      <color theme="1"/>
      <sz val="11"/>
      <scheme val="minor"/>
    </font>
    <font>
      <name val="Calibri"/>
      <b val="1"/>
      <color rgb="001B4F72"/>
      <sz val="16"/>
    </font>
    <font>
      <name val="Calibri"/>
      <i val="1"/>
      <color rgb="00666666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563C1"/>
      <sz val="10"/>
      <u val="single"/>
    </font>
    <font>
      <b val="1"/>
      <sz val="12"/>
    </font>
    <font>
      <name val="Calibri"/>
      <b val="1"/>
      <color rgb="002874A6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FCF3CF"/>
      </patternFill>
    </fill>
    <fill>
      <patternFill patternType="solid">
        <fgColor rgb="001B4F72"/>
      </patternFill>
    </fill>
    <fill>
      <patternFill patternType="solid">
        <fgColor rgb="00D5F5E3"/>
      </patternFill>
    </fill>
    <fill>
      <patternFill patternType="solid">
        <fgColor rgb="00EBF5FB"/>
      </patternFill>
    </fill>
    <fill>
      <patternFill patternType="solid">
        <fgColor rgb="00F9E79F"/>
      </patternFill>
    </fill>
    <fill>
      <patternFill patternType="solid">
        <fgColor rgb="00FDEBD0"/>
      </patternFill>
    </fill>
    <fill>
      <patternFill patternType="solid">
        <fgColor rgb="00D4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7" fillId="8" borderId="0" pivotButton="0" quotePrefix="0" xfId="0"/>
    <xf numFmtId="164" fontId="8" fillId="6" borderId="1" pivotButton="0" quotePrefix="0" xfId="0"/>
    <xf numFmtId="0" fontId="0" fillId="7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 wrapText="1"/>
    </xf>
    <xf numFmtId="164" fontId="0" fillId="2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164" fontId="6" fillId="6" borderId="1" pivotButton="0" quotePrefix="0" xfId="0"/>
    <xf numFmtId="0" fontId="0" fillId="7" borderId="0" pivotButton="0" quotePrefix="0" xfId="0"/>
    <xf numFmtId="0" fontId="0" fillId="0" borderId="1" pivotButton="0" quotePrefix="0" xfId="0"/>
    <xf numFmtId="0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lektramat.nl/magnum-slimfit-12-bevestigingsmat-vloerverwarming-3-75-m2-5-stuks-van-75x100cm-w61012/" TargetMode="External" Id="rId1" /><Relationship Type="http://schemas.openxmlformats.org/officeDocument/2006/relationships/hyperlink" Target="https://www.elektramat.nl/magnum-universele-vloerverwarmingsbuis-5-laags-pe-rt-12x1-5-mm-komo-rol-van-300-meter-w12300/" TargetMode="External" Id="rId2" /><Relationship Type="http://schemas.openxmlformats.org/officeDocument/2006/relationships/hyperlink" Target="https://www.elektramat.nl/magnum-adaptor-euroconus-aansluitkoppeling-12x1-5mm-x-3-4-2-stuks-w90012/" TargetMode="External" Id="rId3" /><Relationship Type="http://schemas.openxmlformats.org/officeDocument/2006/relationships/hyperlink" Target="https://123installatiematerialen.nl/90-bochtondersteuning-buismaat-o-10-12mm-2-stuks/" TargetMode="External" Id="rId4" /><Relationship Type="http://schemas.openxmlformats.org/officeDocument/2006/relationships/hyperlink" Target="https://www.elektramat.nl/magnum-contactlijm-voor-verlijmen-magnum-verlegsystemen-w61027/" TargetMode="External" Id="rId5" /><Relationship Type="http://schemas.openxmlformats.org/officeDocument/2006/relationships/hyperlink" Target="https://vloerverwarmingshop.nl/shop/product/randisolatie-8mm-x-150mm-met-flap-rol-25-meter" TargetMode="External" Id="rId6" /><Relationship Type="http://schemas.openxmlformats.org/officeDocument/2006/relationships/hyperlink" Target="https://egalinexxl.nl/products/kreisel-gruntolit-w-301-voorstrijk-5l" TargetMode="External" Id="rId7" /><Relationship Type="http://schemas.openxmlformats.org/officeDocument/2006/relationships/hyperlink" Target="https://egalinexxl.nl/products/kreisel-418-vezelversterkte-egalisatie-25kg-1-50mm" TargetMode="External" Id="rId8" /><Relationship Type="http://schemas.openxmlformats.org/officeDocument/2006/relationships/hyperlink" Target="https://www.elektramat.nl/magnum-basic-staal-vloerverwarming-verdeler-4-groeps-incl-a-label-pomp-w40004/" TargetMode="External" Id="rId9" /><Relationship Type="http://schemas.openxmlformats.org/officeDocument/2006/relationships/hyperlink" Target="https://www.elektramat.nl/bonfix-meerlagenbuis-alu-pers-systeembuis-16mm-x-2-0mm-op-rol-25-meter-2002715/" TargetMode="External" Id="rId10" /><Relationship Type="http://schemas.openxmlformats.org/officeDocument/2006/relationships/hyperlink" Target="https://online-vloerverwarming.nl/kogelkraan-set-1-rvs-verdeler/" TargetMode="External" Id="rId11" /><Relationship Type="http://schemas.openxmlformats.org/officeDocument/2006/relationships/hyperlink" Target="https://www.vloerverwarmingstore.nl/p/h64-cc-regelunit-cc-regelunit-en-h64-mt-thermostaat-ral-9011-zwart" TargetMode="External" Id="rId12" /><Relationship Type="http://schemas.openxmlformats.org/officeDocument/2006/relationships/hyperlink" Target="https://www.vloerverwarmingstore.nl/p/h64-st-klokthermostaat-bedrade-ruimtethermostaat" TargetMode="External" Id="rId13" /><Relationship Type="http://schemas.openxmlformats.org/officeDocument/2006/relationships/hyperlink" Target="https://www.vloerverwarmingstore.nl/p/mw-a-actuator-nc-magnum-actuator-normaal-gesloten" TargetMode="External" Id="rId14" /><Relationship Type="http://schemas.openxmlformats.org/officeDocument/2006/relationships/hyperlink" Target="https://www.gamma.nl/assortiment/elektra/elektradraad-en-kabel" TargetMode="External" Id="rId1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  <col width="20" customWidth="1" min="3" max="3"/>
  </cols>
  <sheetData>
    <row r="1">
      <c r="A1" s="1" t="inlineStr">
        <is>
          <t>Jouw SlimFit-project – kort overzicht</t>
        </is>
      </c>
    </row>
    <row r="3">
      <c r="A3" s="2" t="inlineStr">
        <is>
          <t>Systeem</t>
        </is>
      </c>
      <c r="B3" s="3" t="inlineStr">
        <is>
          <t>MAGNUM SlimFit 12 (lage opbouw ~14 mm) + PE-RT 12×1,5 mm</t>
        </is>
      </c>
    </row>
    <row r="4">
      <c r="A4" s="2" t="inlineStr">
        <is>
          <t>Oppervlak</t>
        </is>
      </c>
      <c r="B4" s="3" t="inlineStr">
        <is>
          <t>±30 m² (8 pakken SlimFit)</t>
        </is>
      </c>
    </row>
    <row r="5">
      <c r="A5" s="2" t="inlineStr">
        <is>
          <t>Groepen</t>
        </is>
      </c>
      <c r="B5" s="3" t="inlineStr">
        <is>
          <t>4 groepen (kamer 2× ±60–65 m, studeerkamer 1× ±80 m, +1)</t>
        </is>
      </c>
    </row>
    <row r="6">
      <c r="A6" s="2" t="inlineStr">
        <is>
          <t>Egaline</t>
        </is>
      </c>
      <c r="B6" s="3" t="inlineStr">
        <is>
          <t>Kreisel Gruntolit-W 301 + Kreisel 418 (vezel)</t>
        </is>
      </c>
    </row>
    <row r="7">
      <c r="A7" s="2" t="inlineStr">
        <is>
          <t>Regeling</t>
        </is>
      </c>
      <c r="B7" s="3" t="inlineStr">
        <is>
          <t>H64-CC + master + 2 slave thermostaten + 4 actuators</t>
        </is>
      </c>
    </row>
    <row r="9">
      <c r="A9" s="4" t="inlineStr">
        <is>
          <t>Kosten (uit Boodschappenlijst)</t>
        </is>
      </c>
    </row>
    <row r="10">
      <c r="A10" s="2" t="inlineStr">
        <is>
          <t>Totaal incl. BTW (actuele webshopprijzen)</t>
        </is>
      </c>
      <c r="B10" s="5">
        <f>Boodschappenlijst!H22</f>
        <v/>
      </c>
    </row>
    <row r="11">
      <c r="A11" t="inlineStr">
        <is>
          <t>Chat-raming destijds</t>
        </is>
      </c>
      <c r="B11" s="6" t="inlineStr">
        <is>
          <t>€ 2.800 – € 3.100</t>
        </is>
      </c>
    </row>
    <row r="13">
      <c r="A13" s="7" t="inlineStr">
        <is>
          <t>Hoe te gebruiken</t>
        </is>
      </c>
    </row>
    <row r="14">
      <c r="A14" t="inlineStr">
        <is>
          <t>1. Open tabblad Boodschappenlijst</t>
        </is>
      </c>
    </row>
    <row r="15">
      <c r="A15" t="inlineStr">
        <is>
          <t>2. Pas gele cellen aan (hoeveelheid/prijs) indien nodig</t>
        </is>
      </c>
    </row>
    <row r="16">
      <c r="A16" t="inlineStr">
        <is>
          <t>3. Klik op Product-URL om te bestellen</t>
        </is>
      </c>
    </row>
    <row r="17">
      <c r="A17" t="inlineStr">
        <is>
          <t>4. Controleer levertijd opnieuw op de webshop vóór bestelling</t>
        </is>
      </c>
    </row>
  </sheetData>
  <mergeCells count="2">
    <mergeCell ref="A1:C1"/>
    <mergeCell ref="A9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58" customWidth="1" min="3" max="3"/>
    <col width="14" customWidth="1" min="4" max="4"/>
    <col width="12" customWidth="1" min="5" max="5"/>
    <col width="12" customWidth="1" min="6" max="6"/>
    <col width="16" customWidth="1" min="7" max="7"/>
    <col width="14" customWidth="1" min="8" max="8"/>
    <col width="18" customWidth="1" min="9" max="9"/>
    <col width="22" customWidth="1" min="10" max="10"/>
    <col width="55" customWidth="1" min="11" max="11"/>
    <col width="42" customWidth="1" min="12" max="12"/>
  </cols>
  <sheetData>
    <row r="1">
      <c r="A1" s="1" t="inlineStr">
        <is>
          <t>Vloerverwarming – alleen wat je nodig hebt (SlimFit / MAGNUM / Kreisel)</t>
        </is>
      </c>
    </row>
    <row r="2">
      <c r="A2" s="8" t="inlineStr">
        <is>
          <t>Gebaseerd op jouw 4-groepen plan (±30 m²). Prijzen incl. BTW, gecontroleerd augustus 2026. Levertijden kunnen wijzigen.</t>
        </is>
      </c>
    </row>
    <row r="3">
      <c r="A3" s="2" t="inlineStr">
        <is>
          <t>Project</t>
        </is>
      </c>
      <c r="B3" s="9" t="inlineStr">
        <is>
          <t>15 m² kamer (2 groepen) + 10 m² studeerkamer (1 groep) + 1 reserve groep = 4 groepen / ±30 m²</t>
        </is>
      </c>
    </row>
    <row r="5" ht="32" customHeight="1">
      <c r="A5" s="10" t="inlineStr">
        <is>
          <t>Nr</t>
        </is>
      </c>
      <c r="B5" s="10" t="inlineStr">
        <is>
          <t>Categorie</t>
        </is>
      </c>
      <c r="C5" s="10" t="inlineStr">
        <is>
          <t>Benodigd artikel</t>
        </is>
      </c>
      <c r="D5" s="10" t="inlineStr">
        <is>
          <t>Artikelnr</t>
        </is>
      </c>
      <c r="E5" s="10" t="inlineStr">
        <is>
          <t>Hoeveelheid</t>
        </is>
      </c>
      <c r="F5" s="10" t="inlineStr">
        <is>
          <t>Eenheid</t>
        </is>
      </c>
      <c r="G5" s="10" t="inlineStr">
        <is>
          <t>Prijs/eenheid incl. BTW</t>
        </is>
      </c>
      <c r="H5" s="10" t="inlineStr">
        <is>
          <t>Totaal incl. BTW</t>
        </is>
      </c>
      <c r="I5" s="10" t="inlineStr">
        <is>
          <t>Levertijd</t>
        </is>
      </c>
      <c r="J5" s="10" t="inlineStr">
        <is>
          <t>Webshop</t>
        </is>
      </c>
      <c r="K5" s="10" t="inlineStr">
        <is>
          <t>Product-URL</t>
        </is>
      </c>
      <c r="L5" s="10" t="inlineStr">
        <is>
          <t>Opmerking</t>
        </is>
      </c>
    </row>
    <row r="6" ht="36" customHeight="1">
      <c r="A6" s="11" t="n">
        <v>1</v>
      </c>
      <c r="B6" s="11" t="inlineStr">
        <is>
          <t>Bevestiging</t>
        </is>
      </c>
      <c r="C6" s="11" t="inlineStr">
        <is>
          <t>MAGNUM SlimFit 12 bevestigingsmat 3,75 m² (5 platen 75×100 cm)</t>
        </is>
      </c>
      <c r="D6" s="11" t="inlineStr">
        <is>
          <t>W61012</t>
        </is>
      </c>
      <c r="E6" s="12" t="n">
        <v>8</v>
      </c>
      <c r="F6" s="11" t="inlineStr">
        <is>
          <t>pak</t>
        </is>
      </c>
      <c r="G6" s="13" t="n">
        <v>86.94</v>
      </c>
      <c r="H6" s="14">
        <f>E6*G6</f>
        <v/>
      </c>
      <c r="I6" s="11" t="inlineStr">
        <is>
          <t>1 werkdag</t>
        </is>
      </c>
      <c r="J6" s="11" t="inlineStr">
        <is>
          <t>Elektramat</t>
        </is>
      </c>
      <c r="K6" s="15" t="inlineStr">
        <is>
          <t>https://www.elektramat.nl/magnum-slimfit-12-bevestigingsmat-vloerverwarming-3-75-m2-5-stuks-van-75x100cm-w61012/</t>
        </is>
      </c>
      <c r="L6" s="11" t="inlineStr">
        <is>
          <t>8 × 3,75 m² = 30 m² dekking</t>
        </is>
      </c>
    </row>
    <row r="7" ht="36" customHeight="1">
      <c r="A7" s="16" t="n">
        <v>2</v>
      </c>
      <c r="B7" s="16" t="inlineStr">
        <is>
          <t>Buis</t>
        </is>
      </c>
      <c r="C7" s="16" t="inlineStr">
        <is>
          <t>MAGNUM PE-RT buis 12×1,5 mm KOMO – rol 300 m</t>
        </is>
      </c>
      <c r="D7" s="16" t="inlineStr">
        <is>
          <t>W12300</t>
        </is>
      </c>
      <c r="E7" s="12" t="n">
        <v>1</v>
      </c>
      <c r="F7" s="16" t="inlineStr">
        <is>
          <t>rol</t>
        </is>
      </c>
      <c r="G7" s="13" t="n">
        <v>181.86</v>
      </c>
      <c r="H7" s="14">
        <f>E7*G7</f>
        <v/>
      </c>
      <c r="I7" s="16" t="inlineStr">
        <is>
          <t>1 werkdag</t>
        </is>
      </c>
      <c r="J7" s="16" t="inlineStr">
        <is>
          <t>Elektramat</t>
        </is>
      </c>
      <c r="K7" s="15" t="inlineStr">
        <is>
          <t>https://www.elektramat.nl/magnum-universele-vloerverwarmingsbuis-5-laags-pe-rt-12x1-5-mm-komo-rol-van-300-meter-w12300/</t>
        </is>
      </c>
      <c r="L7" s="16" t="inlineStr">
        <is>
          <t>Voldoende voor 4 groepen (max. ±100 m/groep)</t>
        </is>
      </c>
    </row>
    <row r="8" ht="36" customHeight="1">
      <c r="A8" s="11" t="n">
        <v>3</v>
      </c>
      <c r="B8" s="11" t="inlineStr">
        <is>
          <t>Aansluiting</t>
        </is>
      </c>
      <c r="C8" s="11" t="inlineStr">
        <is>
          <t>MAGNUM Euroconus / adaptor 12×1,5 mm × ¾″ (set van 2)</t>
        </is>
      </c>
      <c r="D8" s="11" t="inlineStr">
        <is>
          <t>W90012</t>
        </is>
      </c>
      <c r="E8" s="12" t="n">
        <v>4</v>
      </c>
      <c r="F8" s="11" t="inlineStr">
        <is>
          <t>set</t>
        </is>
      </c>
      <c r="G8" s="13" t="n">
        <v>4.69</v>
      </c>
      <c r="H8" s="14">
        <f>E8*G8</f>
        <v/>
      </c>
      <c r="I8" s="11" t="inlineStr">
        <is>
          <t>1 werkdag</t>
        </is>
      </c>
      <c r="J8" s="11" t="inlineStr">
        <is>
          <t>Elektramat</t>
        </is>
      </c>
      <c r="K8" s="15" t="inlineStr">
        <is>
          <t>https://www.elektramat.nl/magnum-adaptor-euroconus-aansluitkoppeling-12x1-5mm-x-3-4-2-stuks-w90012/</t>
        </is>
      </c>
      <c r="L8" s="11" t="inlineStr">
        <is>
          <t>1 set per groep (aanvoer + retour)</t>
        </is>
      </c>
    </row>
    <row r="9" ht="36" customHeight="1">
      <c r="A9" s="16" t="n">
        <v>4</v>
      </c>
      <c r="B9" s="16" t="inlineStr">
        <is>
          <t>Aansluiting</t>
        </is>
      </c>
      <c r="C9" s="16" t="inlineStr">
        <is>
          <t>MAGNUM 90° bochtondersteuning ø10–12 mm (set van 2)</t>
        </is>
      </c>
      <c r="D9" s="16" t="inlineStr">
        <is>
          <t>W90125</t>
        </is>
      </c>
      <c r="E9" s="12" t="n">
        <v>4</v>
      </c>
      <c r="F9" s="16" t="inlineStr">
        <is>
          <t>set</t>
        </is>
      </c>
      <c r="G9" s="13" t="n">
        <v>1.18</v>
      </c>
      <c r="H9" s="14">
        <f>E9*G9</f>
        <v/>
      </c>
      <c r="I9" s="16" t="inlineStr">
        <is>
          <t>1–2 werkdagen</t>
        </is>
      </c>
      <c r="J9" s="16" t="inlineStr">
        <is>
          <t>123InstallatieMaterialen</t>
        </is>
      </c>
      <c r="K9" s="15" t="inlineStr">
        <is>
          <t>https://123installatiematerialen.nl/90-bochtondersteuning-buismaat-o-10-12mm-2-stuks/</t>
        </is>
      </c>
      <c r="L9" s="16" t="inlineStr">
        <is>
          <t>8 stuks totaal; bij opgang naar verdeler</t>
        </is>
      </c>
    </row>
    <row r="10" ht="36" customHeight="1">
      <c r="A10" s="11" t="n">
        <v>5</v>
      </c>
      <c r="B10" s="11" t="inlineStr">
        <is>
          <t>Bevestiging</t>
        </is>
      </c>
      <c r="C10" s="11" t="inlineStr">
        <is>
          <t>MAGNUM Contactlijm SlimFit / verlegsystemen 500 ml</t>
        </is>
      </c>
      <c r="D10" s="11" t="inlineStr">
        <is>
          <t>W61027</t>
        </is>
      </c>
      <c r="E10" s="12" t="n">
        <v>6</v>
      </c>
      <c r="F10" s="11" t="inlineStr">
        <is>
          <t>bus</t>
        </is>
      </c>
      <c r="G10" s="13" t="n">
        <v>9.050000000000001</v>
      </c>
      <c r="H10" s="14">
        <f>E10*G10</f>
        <v/>
      </c>
      <c r="I10" s="11" t="inlineStr">
        <is>
          <t>1 werkdag</t>
        </is>
      </c>
      <c r="J10" s="11" t="inlineStr">
        <is>
          <t>Elektramat</t>
        </is>
      </c>
      <c r="K10" s="15" t="inlineStr">
        <is>
          <t>https://www.elektramat.nl/magnum-contactlijm-voor-verlijmen-magnum-verlegsystemen-w61027/</t>
        </is>
      </c>
      <c r="L10" s="11" t="inlineStr">
        <is>
          <t>±1 bus per 5 m² → 6 bussen voor 30 m²</t>
        </is>
      </c>
    </row>
    <row r="11" ht="36" customHeight="1">
      <c r="A11" s="16" t="n">
        <v>6</v>
      </c>
      <c r="B11" s="16" t="inlineStr">
        <is>
          <t>Isolatie</t>
        </is>
      </c>
      <c r="C11" s="16" t="inlineStr">
        <is>
          <t>Randisolatie 8×150 mm met flap – rol 25 m</t>
        </is>
      </c>
      <c r="D11" s="16" t="inlineStr">
        <is>
          <t>M-90111</t>
        </is>
      </c>
      <c r="E11" s="12" t="n">
        <v>3</v>
      </c>
      <c r="F11" s="16" t="inlineStr">
        <is>
          <t>rol</t>
        </is>
      </c>
      <c r="G11" s="13" t="n">
        <v>16.9</v>
      </c>
      <c r="H11" s="14">
        <f>E11*G11</f>
        <v/>
      </c>
      <c r="I11" s="16" t="inlineStr">
        <is>
          <t>Volgende werkdag</t>
        </is>
      </c>
      <c r="J11" s="16" t="inlineStr">
        <is>
          <t>Vloerverwarmingshop</t>
        </is>
      </c>
      <c r="K11" s="15" t="inlineStr">
        <is>
          <t>https://vloerverwarmingshop.nl/shop/product/randisolatie-8mm-x-150mm-met-flap-rol-25-meter</t>
        </is>
      </c>
      <c r="L11" s="16" t="inlineStr">
        <is>
          <t>3 × 25 m = 75 m omtrek</t>
        </is>
      </c>
    </row>
    <row r="12" ht="36" customHeight="1">
      <c r="A12" s="11" t="n">
        <v>7</v>
      </c>
      <c r="B12" s="11" t="inlineStr">
        <is>
          <t>Egalisatie</t>
        </is>
      </c>
      <c r="C12" s="11" t="inlineStr">
        <is>
          <t>Kreisel Gruntolit-W 301 voorstrijk / primer 5 L</t>
        </is>
      </c>
      <c r="D12" s="11" t="inlineStr">
        <is>
          <t>Gruntolit-W 301</t>
        </is>
      </c>
      <c r="E12" s="12" t="n">
        <v>2</v>
      </c>
      <c r="F12" s="11" t="inlineStr">
        <is>
          <t>bus 5L</t>
        </is>
      </c>
      <c r="G12" s="13" t="n">
        <v>9.289999999999999</v>
      </c>
      <c r="H12" s="14">
        <f>E12*G12</f>
        <v/>
      </c>
      <c r="I12" s="11" t="inlineStr">
        <is>
          <t>2–5 werkdagen</t>
        </is>
      </c>
      <c r="J12" s="11" t="inlineStr">
        <is>
          <t>EgalineXXL</t>
        </is>
      </c>
      <c r="K12" s="15" t="inlineStr">
        <is>
          <t>https://egalinexxl.nl/products/kreisel-gruntolit-w-301-voorstrijk-5l</t>
        </is>
      </c>
      <c r="L12" s="11" t="inlineStr">
        <is>
          <t>2 × 5 L = 10 liter totaal</t>
        </is>
      </c>
    </row>
    <row r="13" ht="36" customHeight="1">
      <c r="A13" s="16" t="n">
        <v>8</v>
      </c>
      <c r="B13" s="16" t="inlineStr">
        <is>
          <t>Egalisatie</t>
        </is>
      </c>
      <c r="C13" s="16" t="inlineStr">
        <is>
          <t>Kreisel 418 vezelversterkte egaline 25 kg (1–50 mm)</t>
        </is>
      </c>
      <c r="D13" s="16" t="inlineStr">
        <is>
          <t>418</t>
        </is>
      </c>
      <c r="E13" s="12" t="n">
        <v>33</v>
      </c>
      <c r="F13" s="16" t="inlineStr">
        <is>
          <t>zak</t>
        </is>
      </c>
      <c r="G13" s="13" t="n">
        <v>14.87</v>
      </c>
      <c r="H13" s="14">
        <f>E13*G13</f>
        <v/>
      </c>
      <c r="I13" s="16" t="inlineStr">
        <is>
          <t>2–5 werkdagen</t>
        </is>
      </c>
      <c r="J13" s="16" t="inlineStr">
        <is>
          <t>EgalineXXL</t>
        </is>
      </c>
      <c r="K13" s="15" t="inlineStr">
        <is>
          <t>https://egalinexxl.nl/products/kreisel-418-vezelversterkte-egalisatie-25kg-1-50mm</t>
        </is>
      </c>
      <c r="L13" s="16" t="inlineStr">
        <is>
          <t>Midden van 30–36 zakken; check laagdikte (verbruik ±1,5 kg/m²/mm)</t>
        </is>
      </c>
    </row>
    <row r="14" ht="36" customHeight="1">
      <c r="A14" s="11" t="n">
        <v>9</v>
      </c>
      <c r="B14" s="11" t="inlineStr">
        <is>
          <t>Verdeler</t>
        </is>
      </c>
      <c r="C14" s="11" t="inlineStr">
        <is>
          <t>MAGNUM Basic Staal 4-groeps mengverdeler + A-label pomp</t>
        </is>
      </c>
      <c r="D14" s="11" t="inlineStr">
        <is>
          <t>W40004</t>
        </is>
      </c>
      <c r="E14" s="12" t="n">
        <v>1</v>
      </c>
      <c r="F14" s="11" t="inlineStr">
        <is>
          <t>st</t>
        </is>
      </c>
      <c r="G14" s="13" t="n">
        <v>406.52</v>
      </c>
      <c r="H14" s="14">
        <f>E14*G14</f>
        <v/>
      </c>
      <c r="I14" s="11" t="inlineStr">
        <is>
          <t>1 werkdag</t>
        </is>
      </c>
      <c r="J14" s="11" t="inlineStr">
        <is>
          <t>Elektramat</t>
        </is>
      </c>
      <c r="K14" s="15" t="inlineStr">
        <is>
          <t>https://www.elektramat.nl/magnum-basic-staal-vloerverwarming-verdeler-4-groeps-incl-a-label-pomp-w40004/</t>
        </is>
      </c>
      <c r="L14" s="11" t="inlineStr">
        <is>
          <t>Inclusief mengregeling + pomp; primaire aansluiting ½″</t>
        </is>
      </c>
    </row>
    <row r="15" ht="36" customHeight="1">
      <c r="A15" s="16" t="n">
        <v>10</v>
      </c>
      <c r="B15" s="16" t="inlineStr">
        <is>
          <t>CV-aansluiting</t>
        </is>
      </c>
      <c r="C15" s="16" t="inlineStr">
        <is>
          <t>Aanvoer + retourleiding vanaf cv (meerlagenbuis 16×2 of koper 15 mm)</t>
        </is>
      </c>
      <c r="D15" s="16" t="inlineStr">
        <is>
          <t>—</t>
        </is>
      </c>
      <c r="E15" s="12" t="n">
        <v>10</v>
      </c>
      <c r="F15" s="16" t="inlineStr">
        <is>
          <t>m</t>
        </is>
      </c>
      <c r="G15" s="13" t="n">
        <v>8.5</v>
      </c>
      <c r="H15" s="14">
        <f>E15*G15</f>
        <v/>
      </c>
      <c r="I15" s="16" t="inlineStr">
        <is>
          <t>1–3 werkdagen</t>
        </is>
      </c>
      <c r="J15" s="16" t="inlineStr">
        <is>
          <t>Bouwmarkt / installatiezaak</t>
        </is>
      </c>
      <c r="K15" s="15" t="inlineStr">
        <is>
          <t>https://www.elektramat.nl/bonfix-meerlagenbuis-alu-pers-systeembuis-16mm-x-2-0mm-op-rol-25-meter-2002715/</t>
        </is>
      </c>
      <c r="L15" s="16" t="inlineStr">
        <is>
          <t>Lengte afhankelijk van afstand cv→verdeler; pas meters aan</t>
        </is>
      </c>
    </row>
    <row r="16" ht="36" customHeight="1">
      <c r="A16" s="11" t="n">
        <v>11</v>
      </c>
      <c r="B16" s="11" t="inlineStr">
        <is>
          <t>CV-aansluiting</t>
        </is>
      </c>
      <c r="C16" s="11" t="inlineStr">
        <is>
          <t>Kogelkranen / koppelingen / verloopstukken (set)</t>
        </is>
      </c>
      <c r="D16" s="11" t="inlineStr">
        <is>
          <t>—</t>
        </is>
      </c>
      <c r="E16" s="12" t="n">
        <v>1</v>
      </c>
      <c r="F16" s="11" t="inlineStr">
        <is>
          <t>set</t>
        </is>
      </c>
      <c r="G16" s="13" t="n">
        <v>34.95</v>
      </c>
      <c r="H16" s="14">
        <f>E16*G16</f>
        <v/>
      </c>
      <c r="I16" s="11" t="inlineStr">
        <is>
          <t>1–3 werkdagen</t>
        </is>
      </c>
      <c r="J16" s="11" t="inlineStr">
        <is>
          <t>Online-vloerverwarming</t>
        </is>
      </c>
      <c r="K16" s="15" t="inlineStr">
        <is>
          <t>https://online-vloerverwarming.nl/kogelkraan-set-1-rvs-verdeler/</t>
        </is>
      </c>
      <c r="L16" s="11" t="inlineStr">
        <is>
          <t>Controleer of jouw verdeler al primaire afsluiters heeft (Basic Staal vaak wel)</t>
        </is>
      </c>
    </row>
    <row r="17" ht="36" customHeight="1">
      <c r="A17" s="16" t="n">
        <v>12</v>
      </c>
      <c r="B17" s="16" t="inlineStr">
        <is>
          <t>Regeling</t>
        </is>
      </c>
      <c r="C17" s="16" t="inlineStr">
        <is>
          <t>MAGNUM H64-CC regelunit + H64-MT master WiFi-thermostaat</t>
        </is>
      </c>
      <c r="D17" s="16" t="inlineStr">
        <is>
          <t>W81004</t>
        </is>
      </c>
      <c r="E17" s="12" t="n">
        <v>1</v>
      </c>
      <c r="F17" s="16" t="inlineStr">
        <is>
          <t>set</t>
        </is>
      </c>
      <c r="G17" s="13" t="n">
        <v>225</v>
      </c>
      <c r="H17" s="14">
        <f>E17*G17</f>
        <v/>
      </c>
      <c r="I17" s="16" t="inlineStr">
        <is>
          <t>1–2 werkdagen (vaak dinsdag)</t>
        </is>
      </c>
      <c r="J17" s="16" t="inlineStr">
        <is>
          <t>Vloerverwarmingstore</t>
        </is>
      </c>
      <c r="K17" s="15" t="inlineStr">
        <is>
          <t>https://www.vloerverwarmingstore.nl/p/h64-cc-regelunit-cc-regelunit-en-h64-mt-thermostaat-ral-9011-zwart</t>
        </is>
      </c>
      <c r="L17" s="16" t="inlineStr">
        <is>
          <t>Masterthermostaat zit in deze set – niet apart bestellen</t>
        </is>
      </c>
    </row>
    <row r="18" ht="36" customHeight="1">
      <c r="A18" s="11" t="n">
        <v>13</v>
      </c>
      <c r="B18" s="11" t="inlineStr">
        <is>
          <t>Regeling</t>
        </is>
      </c>
      <c r="C18" s="11" t="inlineStr">
        <is>
          <t>MAGNUM H64-ST slave / klokthermostaat</t>
        </is>
      </c>
      <c r="D18" s="11" t="inlineStr">
        <is>
          <t>W81003</t>
        </is>
      </c>
      <c r="E18" s="12" t="n">
        <v>2</v>
      </c>
      <c r="F18" s="11" t="inlineStr">
        <is>
          <t>st</t>
        </is>
      </c>
      <c r="G18" s="13" t="n">
        <v>57.95</v>
      </c>
      <c r="H18" s="14">
        <f>E18*G18</f>
        <v/>
      </c>
      <c r="I18" s="11" t="inlineStr">
        <is>
          <t>1–2 werkdagen</t>
        </is>
      </c>
      <c r="J18" s="11" t="inlineStr">
        <is>
          <t>Vloerverwarmingstore</t>
        </is>
      </c>
      <c r="K18" s="15" t="inlineStr">
        <is>
          <t>https://www.vloerverwarmingstore.nl/p/h64-st-klokthermostaat-bedrade-ruimtethermostaat</t>
        </is>
      </c>
      <c r="L18" s="11" t="inlineStr">
        <is>
          <t>Extra zones (bijv. 2e en 3e ruimte)</t>
        </is>
      </c>
    </row>
    <row r="19" ht="36" customHeight="1">
      <c r="A19" s="16" t="n">
        <v>14</v>
      </c>
      <c r="B19" s="16" t="inlineStr">
        <is>
          <t>Regeling</t>
        </is>
      </c>
      <c r="C19" s="16" t="inlineStr">
        <is>
          <t>MAGNUM MW-A thermische actuator 230V NC M30×1,5</t>
        </is>
      </c>
      <c r="D19" s="16" t="inlineStr">
        <is>
          <t>W80003</t>
        </is>
      </c>
      <c r="E19" s="12" t="n">
        <v>4</v>
      </c>
      <c r="F19" s="16" t="inlineStr">
        <is>
          <t>st</t>
        </is>
      </c>
      <c r="G19" s="13" t="n">
        <v>19.95</v>
      </c>
      <c r="H19" s="14">
        <f>E19*G19</f>
        <v/>
      </c>
      <c r="I19" s="16" t="inlineStr">
        <is>
          <t>1–2 werkdagen</t>
        </is>
      </c>
      <c r="J19" s="16" t="inlineStr">
        <is>
          <t>Vloerverwarmingstore</t>
        </is>
      </c>
      <c r="K19" s="15" t="inlineStr">
        <is>
          <t>https://www.vloerverwarmingstore.nl/p/mw-a-actuator-nc-magnum-actuator-normaal-gesloten</t>
        </is>
      </c>
      <c r="L19" s="16" t="inlineStr">
        <is>
          <t>1 actuator per groep</t>
        </is>
      </c>
    </row>
    <row r="20" ht="36" customHeight="1">
      <c r="A20" s="11" t="n">
        <v>15</v>
      </c>
      <c r="B20" s="11" t="inlineStr">
        <is>
          <t>Elektra</t>
        </is>
      </c>
      <c r="C20" s="11" t="inlineStr">
        <is>
          <t>Elektrakabel 230V naar regelunit + pomp (VD-draad / YMvK)</t>
        </is>
      </c>
      <c r="D20" s="11" t="inlineStr">
        <is>
          <t>—</t>
        </is>
      </c>
      <c r="E20" s="12" t="n">
        <v>1</v>
      </c>
      <c r="F20" s="11" t="inlineStr">
        <is>
          <t>kleinmateriaal</t>
        </is>
      </c>
      <c r="G20" s="13" t="n">
        <v>25</v>
      </c>
      <c r="H20" s="14">
        <f>E20*G20</f>
        <v/>
      </c>
      <c r="I20" s="11" t="inlineStr">
        <is>
          <t>Direct / bouwmarkt</t>
        </is>
      </c>
      <c r="J20" s="11" t="inlineStr">
        <is>
          <t>Bouwmarkt</t>
        </is>
      </c>
      <c r="K20" s="15" t="inlineStr">
        <is>
          <t>https://www.gamma.nl/assortiment/elektra/elektradraad-en-kabel</t>
        </is>
      </c>
      <c r="L20" s="11" t="inlineStr">
        <is>
          <t>Laat aansluiting bij voorkeur door elektricien doen</t>
        </is>
      </c>
    </row>
    <row r="22">
      <c r="F22" s="2" t="inlineStr">
        <is>
          <t>Subtotaal materiaal</t>
        </is>
      </c>
      <c r="H22" s="17">
        <f>SUM(H6:H20)</f>
        <v/>
      </c>
    </row>
    <row r="23">
      <c r="F23" t="inlineStr">
        <is>
          <t>Raming bandbreedte (zoals in chat)</t>
        </is>
      </c>
      <c r="G23" s="18" t="inlineStr">
        <is>
          <t>€ 2.800 – € 3.100</t>
        </is>
      </c>
      <c r="H23" s="8" t="inlineStr">
        <is>
          <t>(bij hogere webshopprijzen / meer egaline)</t>
        </is>
      </c>
    </row>
    <row r="25">
      <c r="A25" s="7" t="inlineStr">
        <is>
          <t>Legenda</t>
        </is>
      </c>
    </row>
    <row r="26">
      <c r="A26" s="8" t="inlineStr">
        <is>
          <t>Geel = aanpasbare hoeveelheid/prijs. Groen = berekend totaal. Klik op Product-URL om de webshop te openen.</t>
        </is>
      </c>
    </row>
    <row r="27">
      <c r="A27" s="8" t="inlineStr">
        <is>
          <t>Niet meegenomen: arbeidsloon, eindafwerking (tegel/PVC/hout), elektra-aansluiting door professional, afvoer oud materiaal.</t>
        </is>
      </c>
    </row>
    <row r="28">
      <c r="A28" s="8" t="inlineStr">
        <is>
          <t>H64 masterthermostaat staat niet apart: die zit in regelunit-set W81004.</t>
        </is>
      </c>
    </row>
  </sheetData>
  <autoFilter ref="A5:L20"/>
  <mergeCells count="6">
    <mergeCell ref="A26:L26"/>
    <mergeCell ref="A2:L2"/>
    <mergeCell ref="A1:L1"/>
    <mergeCell ref="B3:F3"/>
    <mergeCell ref="A28:L28"/>
    <mergeCell ref="A27:L27"/>
  </mergeCells>
  <hyperlinks>
    <hyperlink xmlns:r="http://schemas.openxmlformats.org/officeDocument/2006/relationships" ref="K6" r:id="rId1"/>
    <hyperlink xmlns:r="http://schemas.openxmlformats.org/officeDocument/2006/relationships" ref="K7" r:id="rId2"/>
    <hyperlink xmlns:r="http://schemas.openxmlformats.org/officeDocument/2006/relationships" ref="K8" r:id="rId3"/>
    <hyperlink xmlns:r="http://schemas.openxmlformats.org/officeDocument/2006/relationships" ref="K9" r:id="rId4"/>
    <hyperlink xmlns:r="http://schemas.openxmlformats.org/officeDocument/2006/relationships" ref="K10" r:id="rId5"/>
    <hyperlink xmlns:r="http://schemas.openxmlformats.org/officeDocument/2006/relationships" ref="K11" r:id="rId6"/>
    <hyperlink xmlns:r="http://schemas.openxmlformats.org/officeDocument/2006/relationships" ref="K12" r:id="rId7"/>
    <hyperlink xmlns:r="http://schemas.openxmlformats.org/officeDocument/2006/relationships" ref="K13" r:id="rId8"/>
    <hyperlink xmlns:r="http://schemas.openxmlformats.org/officeDocument/2006/relationships" ref="K14" r:id="rId9"/>
    <hyperlink xmlns:r="http://schemas.openxmlformats.org/officeDocument/2006/relationships" ref="K15" r:id="rId10"/>
    <hyperlink xmlns:r="http://schemas.openxmlformats.org/officeDocument/2006/relationships" ref="K16" r:id="rId11"/>
    <hyperlink xmlns:r="http://schemas.openxmlformats.org/officeDocument/2006/relationships" ref="K17" r:id="rId12"/>
    <hyperlink xmlns:r="http://schemas.openxmlformats.org/officeDocument/2006/relationships" ref="K18" r:id="rId13"/>
    <hyperlink xmlns:r="http://schemas.openxmlformats.org/officeDocument/2006/relationships" ref="K19" r:id="rId14"/>
    <hyperlink xmlns:r="http://schemas.openxmlformats.org/officeDocument/2006/relationships" ref="K2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8" customWidth="1" min="3" max="3"/>
    <col width="20" customWidth="1" min="4" max="4"/>
    <col width="12" customWidth="1" min="5" max="5"/>
  </cols>
  <sheetData>
    <row r="1">
      <c r="A1" s="1" t="inlineStr">
        <is>
          <t>Bestelchecklist</t>
        </is>
      </c>
    </row>
    <row r="3">
      <c r="A3" s="10" t="inlineStr">
        <is>
          <t>Artikel</t>
        </is>
      </c>
      <c r="B3" s="10" t="inlineStr">
        <is>
          <t>Besteld?</t>
        </is>
      </c>
      <c r="C3" s="10" t="inlineStr">
        <is>
          <t>Webshop ordernr</t>
        </is>
      </c>
      <c r="D3" s="10" t="inlineStr">
        <is>
          <t>Verwachte leverdatum</t>
        </is>
      </c>
      <c r="E3" s="10" t="inlineStr">
        <is>
          <t>Ontvangen?</t>
        </is>
      </c>
    </row>
    <row r="4">
      <c r="A4" s="19" t="inlineStr">
        <is>
          <t>MAGNUM SlimFit 12 bevestigingsmat 3,75 m² (5 platen 75×100 cm)</t>
        </is>
      </c>
      <c r="B4" s="20" t="inlineStr">
        <is>
          <t>Nee</t>
        </is>
      </c>
      <c r="C4" s="20" t="n"/>
      <c r="D4" s="20" t="n"/>
      <c r="E4" s="20" t="n"/>
    </row>
    <row r="5">
      <c r="A5" s="19" t="inlineStr">
        <is>
          <t>MAGNUM PE-RT buis 12×1,5 mm KOMO – rol 300 m</t>
        </is>
      </c>
      <c r="B5" s="20" t="inlineStr">
        <is>
          <t>Nee</t>
        </is>
      </c>
      <c r="C5" s="20" t="n"/>
      <c r="D5" s="20" t="n"/>
      <c r="E5" s="20" t="n"/>
    </row>
    <row r="6">
      <c r="A6" s="19" t="inlineStr">
        <is>
          <t>MAGNUM Euroconus / adaptor 12×1,5 mm × ¾″ (set van 2)</t>
        </is>
      </c>
      <c r="B6" s="20" t="inlineStr">
        <is>
          <t>Nee</t>
        </is>
      </c>
      <c r="C6" s="20" t="n"/>
      <c r="D6" s="20" t="n"/>
      <c r="E6" s="20" t="n"/>
    </row>
    <row r="7">
      <c r="A7" s="19" t="inlineStr">
        <is>
          <t>MAGNUM 90° bochtondersteuning ø10–12 mm (set van 2)</t>
        </is>
      </c>
      <c r="B7" s="20" t="inlineStr">
        <is>
          <t>Nee</t>
        </is>
      </c>
      <c r="C7" s="20" t="n"/>
      <c r="D7" s="20" t="n"/>
      <c r="E7" s="20" t="n"/>
    </row>
    <row r="8">
      <c r="A8" s="19" t="inlineStr">
        <is>
          <t>MAGNUM Contactlijm SlimFit / verlegsystemen 500 ml</t>
        </is>
      </c>
      <c r="B8" s="20" t="inlineStr">
        <is>
          <t>Nee</t>
        </is>
      </c>
      <c r="C8" s="20" t="n"/>
      <c r="D8" s="20" t="n"/>
      <c r="E8" s="20" t="n"/>
    </row>
    <row r="9">
      <c r="A9" s="19" t="inlineStr">
        <is>
          <t>Randisolatie 8×150 mm met flap – rol 25 m</t>
        </is>
      </c>
      <c r="B9" s="20" t="inlineStr">
        <is>
          <t>Nee</t>
        </is>
      </c>
      <c r="C9" s="20" t="n"/>
      <c r="D9" s="20" t="n"/>
      <c r="E9" s="20" t="n"/>
    </row>
    <row r="10">
      <c r="A10" s="19" t="inlineStr">
        <is>
          <t>Kreisel Gruntolit-W 301 voorstrijk / primer 5 L</t>
        </is>
      </c>
      <c r="B10" s="20" t="inlineStr">
        <is>
          <t>Nee</t>
        </is>
      </c>
      <c r="C10" s="20" t="n"/>
      <c r="D10" s="20" t="n"/>
      <c r="E10" s="20" t="n"/>
    </row>
    <row r="11">
      <c r="A11" s="19" t="inlineStr">
        <is>
          <t>Kreisel 418 vezelversterkte egaline 25 kg (1–50 mm)</t>
        </is>
      </c>
      <c r="B11" s="20" t="inlineStr">
        <is>
          <t>Nee</t>
        </is>
      </c>
      <c r="C11" s="20" t="n"/>
      <c r="D11" s="20" t="n"/>
      <c r="E11" s="20" t="n"/>
    </row>
    <row r="12">
      <c r="A12" s="19" t="inlineStr">
        <is>
          <t>MAGNUM Basic Staal 4-groeps mengverdeler + A-label pomp</t>
        </is>
      </c>
      <c r="B12" s="20" t="inlineStr">
        <is>
          <t>Nee</t>
        </is>
      </c>
      <c r="C12" s="20" t="n"/>
      <c r="D12" s="20" t="n"/>
      <c r="E12" s="20" t="n"/>
    </row>
    <row r="13">
      <c r="A13" s="19" t="inlineStr">
        <is>
          <t>Aanvoer + retourleiding vanaf cv (meerlagenbuis 16×2 of koper 15 mm)</t>
        </is>
      </c>
      <c r="B13" s="20" t="inlineStr">
        <is>
          <t>Nee</t>
        </is>
      </c>
      <c r="C13" s="20" t="n"/>
      <c r="D13" s="20" t="n"/>
      <c r="E13" s="20" t="n"/>
    </row>
    <row r="14">
      <c r="A14" s="19" t="inlineStr">
        <is>
          <t>Kogelkranen / koppelingen / verloopstukken (set)</t>
        </is>
      </c>
      <c r="B14" s="20" t="inlineStr">
        <is>
          <t>Nee</t>
        </is>
      </c>
      <c r="C14" s="20" t="n"/>
      <c r="D14" s="20" t="n"/>
      <c r="E14" s="20" t="n"/>
    </row>
    <row r="15">
      <c r="A15" s="19" t="inlineStr">
        <is>
          <t>MAGNUM H64-CC regelunit + H64-MT master WiFi-thermostaat</t>
        </is>
      </c>
      <c r="B15" s="20" t="inlineStr">
        <is>
          <t>Nee</t>
        </is>
      </c>
      <c r="C15" s="20" t="n"/>
      <c r="D15" s="20" t="n"/>
      <c r="E15" s="20" t="n"/>
    </row>
    <row r="16">
      <c r="A16" s="19" t="inlineStr">
        <is>
          <t>MAGNUM H64-ST slave / klokthermostaat</t>
        </is>
      </c>
      <c r="B16" s="20" t="inlineStr">
        <is>
          <t>Nee</t>
        </is>
      </c>
      <c r="C16" s="20" t="n"/>
      <c r="D16" s="20" t="n"/>
      <c r="E16" s="20" t="n"/>
    </row>
    <row r="17">
      <c r="A17" s="19" t="inlineStr">
        <is>
          <t>MAGNUM MW-A thermische actuator 230V NC M30×1,5</t>
        </is>
      </c>
      <c r="B17" s="20" t="inlineStr">
        <is>
          <t>Nee</t>
        </is>
      </c>
      <c r="C17" s="20" t="n"/>
      <c r="D17" s="20" t="n"/>
      <c r="E17" s="20" t="n"/>
    </row>
    <row r="18">
      <c r="A18" s="19" t="inlineStr">
        <is>
          <t>Elektrakabel 230V naar regelunit + pomp (VD-draad / YMvK)</t>
        </is>
      </c>
      <c r="B18" s="20" t="inlineStr">
        <is>
          <t>Nee</t>
        </is>
      </c>
      <c r="C18" s="20" t="n"/>
      <c r="D18" s="20" t="n"/>
      <c r="E18" s="20" t="n"/>
    </row>
  </sheetData>
  <dataValidations count="2">
    <dataValidation sqref="B4:B18" showDropDown="0" showInputMessage="0" showErrorMessage="0" allowBlank="0" type="list">
      <formula1>"Nee,Ja,Deels"</formula1>
    </dataValidation>
    <dataValidation sqref="E4:E18" showDropDown="0" showInputMessage="0" showErrorMessage="0" allowBlank="0" type="list">
      <formula1>"Nee,Ja"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2026-08-22T15:19:21Z</dcterms:created>
  <dcterms:modified xsi:type="dcterms:W3CDTF">2026-08-22T15:19:21Z</dcterms:modified>
</cp:coreProperties>
</file>