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NL-leverbaarheid" sheetId="2" state="visible" r:id="rId2"/>
    <sheet name="Parameters" sheetId="3" state="visible" r:id="rId3"/>
    <sheet name="Boodschappenlijst" sheetId="4" state="visible" r:id="rId4"/>
    <sheet name="All-in-check" sheetId="5" state="visible" r:id="rId5"/>
    <sheet name="Verzending" sheetId="6" state="visible" r:id="rId6"/>
    <sheet name="Regeling-keuze" sheetId="7" state="visible" r:id="rId7"/>
    <sheet name="Kwaliteitskeuzes" sheetId="8" state="visible" r:id="rId8"/>
    <sheet name="Prijszoek-top5" sheetId="9" state="visible" r:id="rId9"/>
    <sheet name="Tado-aansluiting" sheetId="10" state="visible" r:id="rId10"/>
    <sheet name="Bestelchecklist" sheetId="11" state="visible" r:id="rId11"/>
  </sheets>
  <definedNames>
    <definedName name="Oppervlakte_m2">Parameters!$B$4</definedName>
    <definedName name="Aantal_groepen">Parameters!$B$5</definedName>
    <definedName name="Aantal_ruimten">Parameters!$B$6</definedName>
    <definedName name="Egaline_mm">Parameters!$B$7</definedName>
    <definedName name="_xlnm._FilterDatabase" localSheetId="3" hidden="1">'Boodschappenlijst'!$A$5:$T$24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2"/>
    </font>
    <font>
      <b val="1"/>
      <color rgb="00C0392B"/>
      <sz val="16"/>
    </font>
    <font>
      <b val="1"/>
      <sz val="14"/>
    </font>
    <font>
      <b val="1"/>
      <color rgb="00FFFFFF"/>
      <sz val="11"/>
    </font>
    <font>
      <i val="1"/>
      <color rgb="00C0392B"/>
    </font>
    <font>
      <b val="1"/>
      <sz val="12"/>
    </font>
    <font>
      <b val="1"/>
      <color rgb="00FFFFFF"/>
    </font>
    <font>
      <b val="1"/>
      <color rgb="001F7A3F"/>
    </font>
    <font>
      <b val="1"/>
    </font>
    <font>
      <b val="1"/>
      <color rgb="001F7A3F"/>
      <sz val="12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3" fillId="5" borderId="0" pivotButton="0" quotePrefix="0" xfId="0"/>
    <xf numFmtId="0" fontId="2" fillId="0" borderId="0" pivotButton="0" quotePrefix="0" xfId="0"/>
    <xf numFmtId="0" fontId="5" fillId="3" borderId="0" pivotButton="0" quotePrefix="0" xfId="0"/>
    <xf numFmtId="4" fontId="0" fillId="0" borderId="0" pivotButton="0" quotePrefix="0" xfId="0"/>
    <xf numFmtId="4" fontId="0" fillId="5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5" fillId="3" borderId="1" pivotButton="0" quotePrefix="0" xfId="0"/>
    <xf numFmtId="0" fontId="0" fillId="4" borderId="1" pivotButton="0" quotePrefix="0" xfId="0"/>
    <xf numFmtId="0" fontId="0" fillId="0" borderId="1" pivotButton="0" quotePrefix="0" xfId="0"/>
    <xf numFmtId="1" fontId="0" fillId="5" borderId="1" pivotButton="0" quotePrefix="0" xfId="0"/>
    <xf numFmtId="4" fontId="0" fillId="0" borderId="1" pivotButton="0" quotePrefix="0" xfId="0"/>
    <xf numFmtId="0" fontId="0" fillId="6" borderId="1" pivotButton="0" quotePrefix="0" xfId="0"/>
    <xf numFmtId="1" fontId="0" fillId="0" borderId="1" pivotButton="0" quotePrefix="0" xfId="0"/>
    <xf numFmtId="0" fontId="7" fillId="2" borderId="1" pivotButton="0" quotePrefix="0" xfId="0"/>
    <xf numFmtId="0" fontId="8" fillId="3" borderId="0" pivotButton="0" quotePrefix="0" xfId="0"/>
    <xf numFmtId="0" fontId="9" fillId="0" borderId="0" pivotButton="0" quotePrefix="0" xfId="0"/>
    <xf numFmtId="0" fontId="11" fillId="5" borderId="0" pivotButton="0" quotePrefix="0" xfId="0"/>
    <xf numFmtId="0" fontId="8" fillId="3" borderId="1" pivotButton="0" quotePrefix="0" xfId="0"/>
    <xf numFmtId="0" fontId="10" fillId="5" borderId="1" pivotButton="0" quotePrefix="0" xfId="0"/>
    <xf numFmtId="0" fontId="10" fillId="0" borderId="0" pivotButton="0" quotePrefix="0" xfId="0"/>
    <xf numFmtId="0" fontId="0" fillId="2" borderId="0" pivotButton="0" quotePrefix="0" xfId="0"/>
    <xf numFmtId="0" fontId="10" fillId="5" borderId="0" pivotButton="0" quotePrefix="0" xfId="0"/>
    <xf numFmtId="0" fontId="12" fillId="2" borderId="1" pivotButton="0" quotePrefix="0" xfId="0"/>
    <xf numFmtId="0" fontId="0" fillId="5" borderId="0" pivotButton="0" quotePrefix="0" xfId="0"/>
    <xf numFmtId="0" fontId="0" fillId="7" borderId="1" pivotButton="0" quotePrefix="0" xfId="0"/>
    <xf numFmtId="1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Vloerverwarming — KWALITATIEF BESTE (nat 16 mm). Speel met m² op Parameters</t>
        </is>
      </c>
    </row>
    <row r="3">
      <c r="A3" t="inlineStr">
        <is>
          <t>Huidige oppervlakte</t>
        </is>
      </c>
      <c r="B3" s="2">
        <f>Parameters!B4</f>
        <v/>
      </c>
      <c r="C3" t="inlineStr">
        <is>
          <t>m²</t>
        </is>
      </c>
    </row>
    <row r="4">
      <c r="A4" t="inlineStr">
        <is>
          <t>Groepen / ruimten</t>
        </is>
      </c>
      <c r="B4">
        <f>Parameters!B5&amp;" groepen · "&amp;Parameters!B6&amp;" ruimten"</f>
        <v/>
      </c>
    </row>
    <row r="6">
      <c r="A6" t="inlineStr">
        <is>
          <t>Gekozen regeling</t>
        </is>
      </c>
      <c r="B6">
        <f>'Regeling-keuze'!B3</f>
        <v/>
      </c>
    </row>
    <row r="8">
      <c r="A8" s="3" t="inlineStr">
        <is>
          <t>TOTALEN (artikelen + verzending)</t>
        </is>
      </c>
    </row>
    <row r="9">
      <c r="A9" s="4" t="inlineStr">
        <is>
          <t>Optie</t>
        </is>
      </c>
      <c r="B9" s="4" t="inlineStr">
        <is>
          <t>Artikelen</t>
        </is>
      </c>
      <c r="C9" s="4" t="inlineStr">
        <is>
          <t>Verzending</t>
        </is>
      </c>
      <c r="D9" s="4" t="inlineStr">
        <is>
          <t>All-in</t>
        </is>
      </c>
    </row>
    <row r="10">
      <c r="A10" t="inlineStr">
        <is>
          <t>Basis (altijd)</t>
        </is>
      </c>
      <c r="B10" s="5">
        <f>SUMIF(Boodschappenlijst!C:C,"altijd",Boodschappenlijst!N:N)</f>
        <v/>
      </c>
      <c r="C10" s="5">
        <f>Verzending!B14</f>
        <v/>
      </c>
      <c r="D10" s="5">
        <f>B10+C10</f>
        <v/>
      </c>
    </row>
    <row r="11">
      <c r="A11" t="inlineStr">
        <is>
          <t>+ Tado bedraad (aanbevolen)</t>
        </is>
      </c>
      <c r="B11" s="5">
        <f>B10+SUMIF(Boodschappenlijst!C:C,"tado_bedraad",Boodschappenlijst!N:N)</f>
        <v/>
      </c>
      <c r="C11" s="5">
        <f>Verzending!B15</f>
        <v/>
      </c>
      <c r="D11" s="6">
        <f>B11+C11</f>
        <v/>
      </c>
    </row>
    <row r="12">
      <c r="A12" t="inlineStr">
        <is>
          <t>+ Tado draadloos</t>
        </is>
      </c>
      <c r="B12" s="5">
        <f>B10+SUMIF(Boodschappenlijst!C:C,"tado_draadloos",Boodschappenlijst!N:N)</f>
        <v/>
      </c>
      <c r="C12" s="5">
        <f>Verzending!B15</f>
        <v/>
      </c>
      <c r="D12" s="5">
        <f>B12+C12</f>
        <v/>
      </c>
    </row>
    <row r="13">
      <c r="A13" t="inlineStr">
        <is>
          <t>+ Magnum H64</t>
        </is>
      </c>
      <c r="B13" s="5">
        <f>B10+SUMIF(Boodschappenlijst!C:C,"h64",Boodschappenlijst!N:N)</f>
        <v/>
      </c>
      <c r="C13" s="5">
        <f>Verzending!B16</f>
        <v/>
      </c>
      <c r="D13" s="5">
        <f>B13+C13</f>
        <v/>
      </c>
    </row>
    <row r="15">
      <c r="A15" s="3" t="inlineStr">
        <is>
          <t>Zo gebruiken</t>
        </is>
      </c>
    </row>
    <row r="16">
      <c r="A16" t="inlineStr">
        <is>
          <t>1. Parameters → gele cel Oppervlakte (m²) + dekvloer-mm (≥50).</t>
        </is>
      </c>
    </row>
    <row r="17">
      <c r="A17" t="inlineStr">
        <is>
          <t>2. Pas Groepen/Ruimten aan (verdeler-SKU is 4-groeps!).</t>
        </is>
      </c>
    </row>
    <row r="18">
      <c r="A18" t="inlineStr">
        <is>
          <t>3. Boodschappenlijst = Magnum noppen 28 mm + PE-RT 16 + zandcement (niet SlimFit).</t>
        </is>
      </c>
    </row>
    <row r="19">
      <c r="A19" t="inlineStr">
        <is>
          <t>4. Zandcement: lokale offerte; Excel toont indicatie €35/m².</t>
        </is>
      </c>
    </row>
    <row r="21">
      <c r="A21" t="inlineStr">
        <is>
          <t>Nog beter als er al een stevige dekvloer is: INFREZEN i.p.v. opbouw — vraag een freesbedrijf. Anders is dit nat systeem het hardst.</t>
        </is>
      </c>
    </row>
    <row r="22">
      <c r="A22" t="inlineStr">
        <is>
          <t>NL-leverzekerheid: sheet NL-leverbaarheid. Actuators: Parameters!B8.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22" customWidth="1" min="3" max="3"/>
    <col width="42" customWidth="1" min="4" max="4"/>
    <col width="28" customWidth="1" min="5" max="5"/>
    <col width="32" customWidth="1" min="6" max="6"/>
  </cols>
  <sheetData>
    <row r="1">
      <c r="A1" s="1" t="inlineStr">
        <is>
          <t>NL-leverbaarheid — kwalitatief beste BOM</t>
        </is>
      </c>
    </row>
    <row r="2">
      <c r="A2" s="25" t="inlineStr">
        <is>
          <t>Buitenland mag, mits verzendkosten + levertijd expliciet meegenomen zijn. Schakelaar actuators: Parameters!B8.</t>
        </is>
      </c>
    </row>
    <row r="4">
      <c r="A4" t="inlineStr">
        <is>
          <t>Huidige actuators-keuze</t>
        </is>
      </c>
      <c r="B4" s="26">
        <f>Parameters!B8</f>
        <v/>
      </c>
    </row>
    <row r="6">
      <c r="A6" s="19" t="inlineStr">
        <is>
          <t>Artikel</t>
        </is>
      </c>
      <c r="B6" s="19" t="inlineStr">
        <is>
          <t>Land</t>
        </is>
      </c>
      <c r="C6" s="19" t="inlineStr">
        <is>
          <t>Webshop</t>
        </is>
      </c>
      <c r="D6" s="19" t="inlineStr">
        <is>
          <t>Levertijd naar NL</t>
        </is>
      </c>
      <c r="E6" s="19" t="inlineStr">
        <is>
          <t>Verzending meegenomen?</t>
        </is>
      </c>
      <c r="F6" s="19" t="inlineStr">
        <is>
          <t>Status</t>
        </is>
      </c>
    </row>
    <row r="7">
      <c r="A7">
        <f>Boodschappenlijst!E6</f>
        <v/>
      </c>
      <c r="B7">
        <f>Boodschappenlijst!R6</f>
        <v/>
      </c>
      <c r="C7">
        <f>Boodschappenlijst!P6</f>
        <v/>
      </c>
      <c r="D7">
        <f>Boodschappenlijst!O6</f>
        <v/>
      </c>
      <c r="E7">
        <f>IF(OR(Boodschappenlijst!R6="NL",Boodschappenlijst!R6=""),"n.v.t. (NL)",IF(ISNUMBER(SEARCH("DE",Boodschappenlijst!R6&amp;"")),"JA — zie Verzending","check"))</f>
        <v/>
      </c>
      <c r="F7">
        <f>Boodschappenlijst!U6</f>
        <v/>
      </c>
    </row>
    <row r="8">
      <c r="A8">
        <f>Boodschappenlijst!E7</f>
        <v/>
      </c>
      <c r="B8">
        <f>Boodschappenlijst!R7</f>
        <v/>
      </c>
      <c r="C8">
        <f>Boodschappenlijst!P7</f>
        <v/>
      </c>
      <c r="D8">
        <f>Boodschappenlijst!O7</f>
        <v/>
      </c>
      <c r="E8">
        <f>IF(OR(Boodschappenlijst!R7="NL",Boodschappenlijst!R7=""),"n.v.t. (NL)",IF(ISNUMBER(SEARCH("DE",Boodschappenlijst!R7&amp;"")),"JA — zie Verzending","check"))</f>
        <v/>
      </c>
      <c r="F8">
        <f>Boodschappenlijst!U7</f>
        <v/>
      </c>
    </row>
    <row r="9">
      <c r="A9">
        <f>Boodschappenlijst!E8</f>
        <v/>
      </c>
      <c r="B9">
        <f>Boodschappenlijst!R8</f>
        <v/>
      </c>
      <c r="C9">
        <f>Boodschappenlijst!P8</f>
        <v/>
      </c>
      <c r="D9">
        <f>Boodschappenlijst!O8</f>
        <v/>
      </c>
      <c r="E9">
        <f>IF(OR(Boodschappenlijst!R8="NL",Boodschappenlijst!R8=""),"n.v.t. (NL)",IF(ISNUMBER(SEARCH("DE",Boodschappenlijst!R8&amp;"")),"JA — zie Verzending","check"))</f>
        <v/>
      </c>
      <c r="F9">
        <f>Boodschappenlijst!U8</f>
        <v/>
      </c>
    </row>
    <row r="10">
      <c r="A10">
        <f>Boodschappenlijst!E9</f>
        <v/>
      </c>
      <c r="B10">
        <f>Boodschappenlijst!R9</f>
        <v/>
      </c>
      <c r="C10">
        <f>Boodschappenlijst!P9</f>
        <v/>
      </c>
      <c r="D10">
        <f>Boodschappenlijst!O9</f>
        <v/>
      </c>
      <c r="E10">
        <f>IF(OR(Boodschappenlijst!R9="NL",Boodschappenlijst!R9=""),"n.v.t. (NL)",IF(ISNUMBER(SEARCH("DE",Boodschappenlijst!R9&amp;"")),"JA — zie Verzending","check"))</f>
        <v/>
      </c>
      <c r="F10">
        <f>Boodschappenlijst!U9</f>
        <v/>
      </c>
    </row>
    <row r="11">
      <c r="A11">
        <f>Boodschappenlijst!E10</f>
        <v/>
      </c>
      <c r="B11">
        <f>Boodschappenlijst!R10</f>
        <v/>
      </c>
      <c r="C11">
        <f>Boodschappenlijst!P10</f>
        <v/>
      </c>
      <c r="D11">
        <f>Boodschappenlijst!O10</f>
        <v/>
      </c>
      <c r="E11">
        <f>IF(OR(Boodschappenlijst!R10="NL",Boodschappenlijst!R10=""),"n.v.t. (NL)",IF(ISNUMBER(SEARCH("DE",Boodschappenlijst!R10&amp;"")),"JA — zie Verzending","check"))</f>
        <v/>
      </c>
      <c r="F11">
        <f>Boodschappenlijst!U10</f>
        <v/>
      </c>
    </row>
    <row r="12">
      <c r="A12">
        <f>Boodschappenlijst!E11</f>
        <v/>
      </c>
      <c r="B12">
        <f>Boodschappenlijst!R11</f>
        <v/>
      </c>
      <c r="C12">
        <f>Boodschappenlijst!P11</f>
        <v/>
      </c>
      <c r="D12">
        <f>Boodschappenlijst!O11</f>
        <v/>
      </c>
      <c r="E12">
        <f>IF(OR(Boodschappenlijst!R11="NL",Boodschappenlijst!R11=""),"n.v.t. (NL)",IF(ISNUMBER(SEARCH("DE",Boodschappenlijst!R11&amp;"")),"JA — zie Verzending","check"))</f>
        <v/>
      </c>
      <c r="F12">
        <f>Boodschappenlijst!U11</f>
        <v/>
      </c>
    </row>
    <row r="13">
      <c r="A13">
        <f>Boodschappenlijst!E12</f>
        <v/>
      </c>
      <c r="B13">
        <f>Boodschappenlijst!R12</f>
        <v/>
      </c>
      <c r="C13">
        <f>Boodschappenlijst!P12</f>
        <v/>
      </c>
      <c r="D13">
        <f>Boodschappenlijst!O12</f>
        <v/>
      </c>
      <c r="E13">
        <f>IF(OR(Boodschappenlijst!R12="NL",Boodschappenlijst!R12=""),"n.v.t. (NL)",IF(ISNUMBER(SEARCH("DE",Boodschappenlijst!R12&amp;"")),"JA — zie Verzending","check"))</f>
        <v/>
      </c>
      <c r="F13">
        <f>Boodschappenlijst!U12</f>
        <v/>
      </c>
    </row>
    <row r="14">
      <c r="A14">
        <f>Boodschappenlijst!E13</f>
        <v/>
      </c>
      <c r="B14">
        <f>Boodschappenlijst!R13</f>
        <v/>
      </c>
      <c r="C14">
        <f>Boodschappenlijst!P13</f>
        <v/>
      </c>
      <c r="D14">
        <f>Boodschappenlijst!O13</f>
        <v/>
      </c>
      <c r="E14">
        <f>IF(OR(Boodschappenlijst!R13="NL",Boodschappenlijst!R13=""),"n.v.t. (NL)",IF(ISNUMBER(SEARCH("DE",Boodschappenlijst!R13&amp;"")),"JA — zie Verzending","check"))</f>
        <v/>
      </c>
      <c r="F14">
        <f>Boodschappenlijst!U13</f>
        <v/>
      </c>
    </row>
    <row r="15">
      <c r="A15">
        <f>Boodschappenlijst!E14</f>
        <v/>
      </c>
      <c r="B15">
        <f>Boodschappenlijst!R14</f>
        <v/>
      </c>
      <c r="C15">
        <f>Boodschappenlijst!P14</f>
        <v/>
      </c>
      <c r="D15">
        <f>Boodschappenlijst!O14</f>
        <v/>
      </c>
      <c r="E15">
        <f>IF(OR(Boodschappenlijst!R14="NL",Boodschappenlijst!R14=""),"n.v.t. (NL)",IF(ISNUMBER(SEARCH("DE",Boodschappenlijst!R14&amp;"")),"JA — zie Verzending","check"))</f>
        <v/>
      </c>
      <c r="F15">
        <f>Boodschappenlijst!U14</f>
        <v/>
      </c>
    </row>
    <row r="16">
      <c r="A16">
        <f>Boodschappenlijst!E15</f>
        <v/>
      </c>
      <c r="B16">
        <f>Boodschappenlijst!R15</f>
        <v/>
      </c>
      <c r="C16">
        <f>Boodschappenlijst!P15</f>
        <v/>
      </c>
      <c r="D16">
        <f>Boodschappenlijst!O15</f>
        <v/>
      </c>
      <c r="E16">
        <f>IF(OR(Boodschappenlijst!R15="NL",Boodschappenlijst!R15=""),"n.v.t. (NL)",IF(ISNUMBER(SEARCH("DE",Boodschappenlijst!R15&amp;"")),"JA — zie Verzending","check"))</f>
        <v/>
      </c>
      <c r="F16">
        <f>Boodschappenlijst!U15</f>
        <v/>
      </c>
    </row>
    <row r="17">
      <c r="A17">
        <f>Boodschappenlijst!E16</f>
        <v/>
      </c>
      <c r="B17">
        <f>Boodschappenlijst!R16</f>
        <v/>
      </c>
      <c r="C17">
        <f>Boodschappenlijst!P16</f>
        <v/>
      </c>
      <c r="D17">
        <f>Boodschappenlijst!O16</f>
        <v/>
      </c>
      <c r="E17">
        <f>IF(OR(Boodschappenlijst!R16="NL",Boodschappenlijst!R16=""),"n.v.t. (NL)",IF(ISNUMBER(SEARCH("DE",Boodschappenlijst!R16&amp;"")),"JA — zie Verzending","check"))</f>
        <v/>
      </c>
      <c r="F17">
        <f>Boodschappenlijst!U16</f>
        <v/>
      </c>
    </row>
    <row r="18">
      <c r="A18">
        <f>Boodschappenlijst!E17</f>
        <v/>
      </c>
      <c r="B18">
        <f>Boodschappenlijst!R17</f>
        <v/>
      </c>
      <c r="C18">
        <f>Boodschappenlijst!P17</f>
        <v/>
      </c>
      <c r="D18">
        <f>Boodschappenlijst!O17</f>
        <v/>
      </c>
      <c r="E18">
        <f>IF(OR(Boodschappenlijst!R17="NL",Boodschappenlijst!R17=""),"n.v.t. (NL)",IF(ISNUMBER(SEARCH("DE",Boodschappenlijst!R17&amp;"")),"JA — zie Verzending","check"))</f>
        <v/>
      </c>
      <c r="F18">
        <f>Boodschappenlijst!U17</f>
        <v/>
      </c>
    </row>
    <row r="19">
      <c r="A19">
        <f>Boodschappenlijst!E18</f>
        <v/>
      </c>
      <c r="B19">
        <f>Boodschappenlijst!R18</f>
        <v/>
      </c>
      <c r="C19">
        <f>Boodschappenlijst!P18</f>
        <v/>
      </c>
      <c r="D19">
        <f>Boodschappenlijst!O18</f>
        <v/>
      </c>
      <c r="E19">
        <f>IF(OR(Boodschappenlijst!R18="NL",Boodschappenlijst!R18=""),"n.v.t. (NL)",IF(ISNUMBER(SEARCH("DE",Boodschappenlijst!R18&amp;"")),"JA — zie Verzending","check"))</f>
        <v/>
      </c>
      <c r="F19">
        <f>Boodschappenlijst!U18</f>
        <v/>
      </c>
    </row>
    <row r="20">
      <c r="A20">
        <f>Boodschappenlijst!E19</f>
        <v/>
      </c>
      <c r="B20">
        <f>Boodschappenlijst!R19</f>
        <v/>
      </c>
      <c r="C20">
        <f>Boodschappenlijst!P19</f>
        <v/>
      </c>
      <c r="D20">
        <f>Boodschappenlijst!O19</f>
        <v/>
      </c>
      <c r="E20">
        <f>IF(OR(Boodschappenlijst!R19="NL",Boodschappenlijst!R19=""),"n.v.t. (NL)",IF(ISNUMBER(SEARCH("DE",Boodschappenlijst!R19&amp;"")),"JA — zie Verzending","check"))</f>
        <v/>
      </c>
      <c r="F20">
        <f>Boodschappenlijst!U19</f>
        <v/>
      </c>
    </row>
    <row r="21">
      <c r="A21">
        <f>Boodschappenlijst!E20</f>
        <v/>
      </c>
      <c r="B21">
        <f>Boodschappenlijst!R20</f>
        <v/>
      </c>
      <c r="C21">
        <f>Boodschappenlijst!P20</f>
        <v/>
      </c>
      <c r="D21">
        <f>Boodschappenlijst!O20</f>
        <v/>
      </c>
      <c r="E21">
        <f>IF(OR(Boodschappenlijst!R20="NL",Boodschappenlijst!R20=""),"n.v.t. (NL)",IF(ISNUMBER(SEARCH("DE",Boodschappenlijst!R20&amp;"")),"JA — zie Verzending","check"))</f>
        <v/>
      </c>
      <c r="F21">
        <f>Boodschappenlijst!U20</f>
        <v/>
      </c>
    </row>
    <row r="22">
      <c r="A22">
        <f>Boodschappenlijst!E21</f>
        <v/>
      </c>
      <c r="B22">
        <f>Boodschappenlijst!R21</f>
        <v/>
      </c>
      <c r="C22">
        <f>Boodschappenlijst!P21</f>
        <v/>
      </c>
      <c r="D22">
        <f>Boodschappenlijst!O21</f>
        <v/>
      </c>
      <c r="E22">
        <f>IF(OR(Boodschappenlijst!R21="NL",Boodschappenlijst!R21=""),"n.v.t. (NL)",IF(ISNUMBER(SEARCH("DE",Boodschappenlijst!R21&amp;"")),"JA — zie Verzending","check"))</f>
        <v/>
      </c>
      <c r="F22">
        <f>Boodschappenlijst!U21</f>
        <v/>
      </c>
    </row>
    <row r="23">
      <c r="A23">
        <f>Boodschappenlijst!E22</f>
        <v/>
      </c>
      <c r="B23">
        <f>Boodschappenlijst!R22</f>
        <v/>
      </c>
      <c r="C23">
        <f>Boodschappenlijst!P22</f>
        <v/>
      </c>
      <c r="D23">
        <f>Boodschappenlijst!O22</f>
        <v/>
      </c>
      <c r="E23">
        <f>IF(OR(Boodschappenlijst!R22="NL",Boodschappenlijst!R22=""),"n.v.t. (NL)",IF(ISNUMBER(SEARCH("DE",Boodschappenlijst!R22&amp;"")),"JA — zie Verzending","check"))</f>
        <v/>
      </c>
      <c r="F23">
        <f>Boodschappenlijst!U22</f>
        <v/>
      </c>
    </row>
    <row r="24">
      <c r="A24">
        <f>Boodschappenlijst!E23</f>
        <v/>
      </c>
      <c r="B24">
        <f>Boodschappenlijst!R23</f>
        <v/>
      </c>
      <c r="C24">
        <f>Boodschappenlijst!P23</f>
        <v/>
      </c>
      <c r="D24">
        <f>Boodschappenlijst!O23</f>
        <v/>
      </c>
      <c r="E24">
        <f>IF(OR(Boodschappenlijst!R23="NL",Boodschappenlijst!R23=""),"n.v.t. (NL)",IF(ISNUMBER(SEARCH("DE",Boodschappenlijst!R23&amp;"")),"JA — zie Verzending","check"))</f>
        <v/>
      </c>
      <c r="F24">
        <f>Boodschappenlijst!U23</f>
        <v/>
      </c>
    </row>
    <row r="27">
      <c r="A27" s="3" t="inlineStr">
        <is>
          <t>Samenvatting</t>
        </is>
      </c>
    </row>
    <row r="28">
      <c r="A28" t="inlineStr">
        <is>
          <t>• Bijna alles NL-webshops (Elektramat, 123shop, Installand, Overkamp, Warp, tado°).</t>
        </is>
      </c>
    </row>
    <row r="29">
      <c r="A29" t="inlineStr">
        <is>
          <t>• Zandcement = lokale vloerzetter (indicatief in lijst).</t>
        </is>
      </c>
    </row>
    <row r="30">
      <c r="A30" t="inlineStr">
        <is>
          <t>• 1 regel mogelijk buitenland: Möhlenhoff via eibhandel.de (Parameters!B8).</t>
        </is>
      </c>
    </row>
    <row r="31">
      <c r="A31" t="inlineStr">
        <is>
          <t>• Noppenplaten: lengtevracht — plan bezorging/afhaal met Elektramat.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70" customWidth="1" min="4" max="4"/>
  </cols>
  <sheetData>
    <row r="1">
      <c r="A1" s="1" t="inlineStr">
        <is>
          <t>STUURVARIABELEN — pas gele cellen aan; rest schaalt automatisch</t>
        </is>
      </c>
    </row>
    <row r="3">
      <c r="A3" s="3" t="inlineStr">
        <is>
          <t>PROJECT</t>
        </is>
      </c>
    </row>
    <row r="4">
      <c r="A4" t="inlineStr">
        <is>
          <t>Oppervlakte</t>
        </is>
      </c>
      <c r="B4" s="7" t="n">
        <v>30</v>
      </c>
      <c r="C4" t="inlineStr">
        <is>
          <t>m²</t>
        </is>
      </c>
      <c r="D4" t="inlineStr">
        <is>
          <t>← KEY: verander dit getal</t>
        </is>
      </c>
    </row>
    <row r="5">
      <c r="A5" t="inlineStr">
        <is>
          <t>Aantal groepen</t>
        </is>
      </c>
      <c r="B5" s="8" t="n">
        <v>4</v>
      </c>
      <c r="C5" t="inlineStr">
        <is>
          <t>st</t>
        </is>
      </c>
      <c r="D5" t="inlineStr">
        <is>
          <t>Bepaalt verdeler/actuators/koppelingen (max ~100 m buis/groep)</t>
        </is>
      </c>
    </row>
    <row r="6">
      <c r="A6" t="inlineStr">
        <is>
          <t>Aantal ruimten</t>
        </is>
      </c>
      <c r="B6" s="8" t="n">
        <v>3</v>
      </c>
      <c r="C6" t="inlineStr">
        <is>
          <t>st</t>
        </is>
      </c>
      <c r="D6" t="inlineStr">
        <is>
          <t>Bepaalt Tado/H64 thermostaten</t>
        </is>
      </c>
    </row>
    <row r="7">
      <c r="A7" t="inlineStr">
        <is>
          <t>Dekvloer boven buis</t>
        </is>
      </c>
      <c r="B7" s="9" t="n">
        <v>50</v>
      </c>
      <c r="C7" t="inlineStr">
        <is>
          <t>mm</t>
        </is>
      </c>
      <c r="D7" t="inlineStr">
        <is>
          <t>Magnum min. 50 mm zandcement boven buis (harde, niet-golvende vloer)</t>
        </is>
      </c>
    </row>
    <row r="8">
      <c r="A8" t="inlineStr">
        <is>
          <t>Actuators leveren vanuit</t>
        </is>
      </c>
      <c r="B8" s="27" t="inlineStr">
        <is>
          <t>DE→NL (eibhandel, goedkoopst)</t>
        </is>
      </c>
      <c r="C8" t="inlineStr">
        <is>
          <t>keuze</t>
        </is>
      </c>
      <c r="D8" t="inlineStr">
        <is>
          <t>Of: "NL zeker (VerwarmingOnline)" — duurder, 100% NL-webshop</t>
        </is>
      </c>
    </row>
    <row r="9">
      <c r="A9" s="3" t="inlineStr">
        <is>
          <t>AFGELEIDE WAARDEN (auto)</t>
        </is>
      </c>
    </row>
    <row r="10">
      <c r="A10" t="inlineStr">
        <is>
          <t>Buislengte (indicatie)</t>
        </is>
      </c>
      <c r="B10">
        <f>ROUND(B4*8,0)</f>
        <v/>
      </c>
      <c r="C10" t="inlineStr">
        <is>
          <t>m</t>
        </is>
      </c>
      <c r="D10" t="inlineStr">
        <is>
          <t>vuistregel 8 m/m² ≈ hart-op-hart 12,5 cm (kwaliteit nat 16 mm)</t>
        </is>
      </c>
    </row>
    <row r="11">
      <c r="A11" t="inlineStr">
        <is>
          <t>Noppenplaat sets 10 m²</t>
        </is>
      </c>
      <c r="B11">
        <f>CEILING(B4/10,1)</f>
        <v/>
      </c>
      <c r="C11" t="inlineStr">
        <is>
          <t>set à 10 m²</t>
        </is>
      </c>
    </row>
    <row r="12">
      <c r="A12" t="inlineStr">
        <is>
          <t>Krimpnetten 2,52 m²</t>
        </is>
      </c>
      <c r="B12">
        <f>CEILING(B4/2.52,1)</f>
        <v/>
      </c>
      <c r="C12" t="inlineStr">
        <is>
          <t>mat 120×210</t>
        </is>
      </c>
    </row>
    <row r="13">
      <c r="A13" t="inlineStr">
        <is>
          <t>PE-RT rollen 240 m</t>
        </is>
      </c>
      <c r="B13">
        <f>MAX(1,CEILING(B10/240,1))</f>
        <v/>
      </c>
      <c r="C13" t="inlineStr">
        <is>
          <t>rol</t>
        </is>
      </c>
    </row>
    <row r="14">
      <c r="A14" t="inlineStr">
        <is>
          <t>Euroconus sets</t>
        </is>
      </c>
      <c r="B14">
        <f>B5</f>
        <v/>
      </c>
      <c r="C14" t="inlineStr">
        <is>
          <t>set (2 st)</t>
        </is>
      </c>
    </row>
    <row r="15">
      <c r="A15" t="inlineStr">
        <is>
          <t>Randisolatie rollen</t>
        </is>
      </c>
      <c r="B15">
        <f>MAX(2,CEILING(B4/10,1))</f>
        <v/>
      </c>
      <c r="C15" t="inlineStr">
        <is>
          <t>rol à 25 m</t>
        </is>
      </c>
    </row>
    <row r="16">
      <c r="A16" t="inlineStr">
        <is>
          <t>Geleidingsbochten</t>
        </is>
      </c>
      <c r="B16">
        <f>B5*2</f>
        <v/>
      </c>
      <c r="C16" t="inlineStr">
        <is>
          <t>st (aanvoer+retour/groep)</t>
        </is>
      </c>
    </row>
    <row r="17">
      <c r="A17" t="inlineStr">
        <is>
          <t>Tado/H64 slaves</t>
        </is>
      </c>
      <c r="B17">
        <f>MAX(0,B6-1)</f>
        <v/>
      </c>
      <c r="C17" t="inlineStr">
        <is>
          <t>st</t>
        </is>
      </c>
    </row>
    <row r="18">
      <c r="A18" t="inlineStr">
        <is>
          <t>Zandcement m²</t>
        </is>
      </c>
      <c r="B18">
        <f>B4</f>
        <v/>
      </c>
      <c r="C18" t="inlineStr">
        <is>
          <t>m²</t>
        </is>
      </c>
      <c r="D18" t="inlineStr">
        <is>
          <t>Indicatie vloerzetter; vraag lokale offerte</t>
        </is>
      </c>
    </row>
    <row r="19">
      <c r="A19" s="3" t="inlineStr">
        <is>
          <t>VERZENDREGELS (NL, all-in — gecorrigeerd)</t>
        </is>
      </c>
    </row>
    <row r="20">
      <c r="A20" s="19" t="inlineStr">
        <is>
          <t>Shop</t>
        </is>
      </c>
      <c r="B20" s="19" t="inlineStr">
        <is>
          <t>Gratis vanaf</t>
        </is>
      </c>
      <c r="C20" s="19" t="inlineStr">
        <is>
          <t>Kosten onder drempel</t>
        </is>
      </c>
      <c r="D20" s="19" t="inlineStr">
        <is>
          <t>Levertijd / land / opmerking</t>
        </is>
      </c>
    </row>
    <row r="21">
      <c r="A21" t="inlineStr">
        <is>
          <t>Elektramat</t>
        </is>
      </c>
      <c r="B21" s="5" t="inlineStr">
        <is>
          <t>€150 excl. btw</t>
        </is>
      </c>
      <c r="C21" s="5" t="inlineStr">
        <is>
          <t>€4,09 excl ≈ €4,95 incl</t>
        </is>
      </c>
      <c r="D21" t="inlineStr">
        <is>
          <t>NL · 1 wd · PostNL</t>
        </is>
      </c>
    </row>
    <row r="22">
      <c r="A22" t="inlineStr">
        <is>
          <t>123InstallatieMaterialen</t>
        </is>
      </c>
      <c r="B22" s="5" t="inlineStr">
        <is>
          <t>€200</t>
        </is>
      </c>
      <c r="C22" s="5" t="inlineStr">
        <is>
          <t>€6,95</t>
        </is>
      </c>
      <c r="D22" t="inlineStr">
        <is>
          <t>NL · morgen in huis</t>
        </is>
      </c>
    </row>
    <row r="23">
      <c r="A23" t="inlineStr">
        <is>
          <t>123Installatieshop</t>
        </is>
      </c>
      <c r="B23" s="5" t="inlineStr">
        <is>
          <t>€150</t>
        </is>
      </c>
      <c r="C23" s="5" t="inlineStr">
        <is>
          <t>€6,95</t>
        </is>
      </c>
      <c r="D23" t="inlineStr">
        <is>
          <t>NL · volgende werkdag</t>
        </is>
      </c>
    </row>
    <row r="24">
      <c r="A24" t="inlineStr">
        <is>
          <t>EgalineXXL / RBMB</t>
        </is>
      </c>
      <c r="B24" s="5" t="inlineStr">
        <is>
          <t>€600 excl. btw</t>
        </is>
      </c>
      <c r="C24" s="5" t="inlineStr">
        <is>
          <t>pallet ≈ €60,50 incl</t>
        </is>
      </c>
      <c r="D24" t="inlineStr">
        <is>
          <t>NL · 1–2 wd / palletplanning</t>
        </is>
      </c>
    </row>
    <row r="25">
      <c r="A25" t="inlineStr">
        <is>
          <t>eibhandel.de</t>
        </is>
      </c>
      <c r="B25" s="5" t="inlineStr">
        <is>
          <t>€1000</t>
        </is>
      </c>
      <c r="C25" s="5" t="inlineStr">
        <is>
          <t>€12,95 excl ≈ €15,41 incl</t>
        </is>
      </c>
      <c r="D25" t="inlineStr">
        <is>
          <t>DE→NL DHL zone 1 · 2–5 wd DE (+NL)</t>
        </is>
      </c>
    </row>
    <row r="26">
      <c r="A26" t="inlineStr">
        <is>
          <t>Warp Systems</t>
        </is>
      </c>
      <c r="B26" s="5" t="inlineStr">
        <is>
          <t>n.v.t. / laag</t>
        </is>
      </c>
      <c r="C26" s="5" t="inlineStr">
        <is>
          <t>€0 (typisch)</t>
        </is>
      </c>
      <c r="D26" t="inlineStr">
        <is>
          <t>NL · 1 wd (voor 12:00)</t>
        </is>
      </c>
    </row>
    <row r="27">
      <c r="A27" t="inlineStr">
        <is>
          <t>tado° Shop</t>
        </is>
      </c>
      <c r="B27" s="5" t="inlineStr">
        <is>
          <t>€150</t>
        </is>
      </c>
      <c r="C27" s="5" t="inlineStr">
        <is>
          <t>€4,99</t>
        </is>
      </c>
      <c r="D27" t="inlineStr">
        <is>
          <t>NL/EU · 2–4 wd</t>
        </is>
      </c>
    </row>
    <row r="28">
      <c r="A28" t="inlineStr">
        <is>
          <t>Installand</t>
        </is>
      </c>
      <c r="B28" s="5" t="inlineStr">
        <is>
          <t>€60</t>
        </is>
      </c>
      <c r="C28" s="5" t="inlineStr">
        <is>
          <t>var. / afhalen gratis</t>
        </is>
      </c>
      <c r="D28" t="inlineStr">
        <is>
          <t>NL · vaak volgende wd</t>
        </is>
      </c>
    </row>
    <row r="29">
      <c r="A29" t="inlineStr">
        <is>
          <t>VerwarmingOnline</t>
        </is>
      </c>
      <c r="B29" s="5" t="inlineStr">
        <is>
          <t>€385</t>
        </is>
      </c>
      <c r="C29" s="5" t="inlineStr">
        <is>
          <t>~€6,95</t>
        </is>
      </c>
      <c r="D29" t="inlineStr">
        <is>
          <t>NL · 3–4 wd</t>
        </is>
      </c>
    </row>
    <row r="30">
      <c r="A30" t="inlineStr">
        <is>
          <t>Home Perfect (.nl/.de)</t>
        </is>
      </c>
      <c r="B30" t="inlineStr">
        <is>
          <t>€1000 pakket</t>
        </is>
      </c>
      <c r="C30" t="inlineStr">
        <is>
          <t>€29,90–€69 NL-pakket</t>
        </is>
      </c>
      <c r="D30" t="inlineStr">
        <is>
          <t>DE-basis · 7–10 wd → te duur/traag all-in</t>
        </is>
      </c>
    </row>
    <row r="32">
      <c r="A32" s="20" t="inlineStr">
        <is>
          <t>Conclusie all-in (aug 2026): huidige shops blijven goedkoopst; zie sheet All-in-check. Geen shopwissel nodig.</t>
        </is>
      </c>
    </row>
    <row r="33">
      <c r="A33" t="inlineStr">
        <is>
          <t>Buitenland alleen eibhandel.de (actuators): NL-levering bevestigd, verzending + levertijd meegenomen.</t>
        </is>
      </c>
    </row>
    <row r="34">
      <c r="A34" s="3" t="inlineStr">
        <is>
          <t>NL-LEVERZEKERHEID</t>
        </is>
      </c>
    </row>
    <row r="35">
      <c r="A35" t="inlineStr">
        <is>
          <t>Standaard: alle artikelen NL-webshops behalve actuators.</t>
        </is>
      </c>
    </row>
    <row r="36">
      <c r="A36" t="inlineStr">
        <is>
          <t>Actuators DE→NL: eibhandel.de levert naar NL (DHL zone 1), verzending ≈€15,41, levertijd 2–5 wd DE + NL-transit (meestal ≤1 week).</t>
        </is>
      </c>
    </row>
    <row r="37">
      <c r="A37" t="inlineStr">
        <is>
          <t>Wil je 100% NL-webshop? Zet B8 op "NL zeker (VerwarmingOnline)" — all-in dan ~€80–€87 i.p.v. ~€55.</t>
        </is>
      </c>
    </row>
  </sheetData>
  <dataValidations count="1">
    <dataValidation sqref="B8" showDropDown="0" showInputMessage="0" showErrorMessage="0" allowBlank="0" errorTitle="Ongeldige keuze" error="Kies DE→NL of NL zeker" type="list">
      <formula1>"DE→NL (eibhandel, goedkoopst),NL zeker (VerwarmingOnline)"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" customWidth="1" min="2" max="2"/>
    <col width="14" customWidth="1" min="3" max="3"/>
    <col width="12" customWidth="1" min="4" max="4"/>
    <col width="48" customWidth="1" min="5" max="5"/>
    <col width="14" customWidth="1" min="6" max="6"/>
    <col width="40" customWidth="1" min="7" max="7"/>
    <col width="28" customWidth="1" min="8" max="8"/>
    <col width="12" customWidth="1" min="9" max="9"/>
    <col width="12" customWidth="1" min="10" max="10"/>
    <col width="10" customWidth="1" min="11" max="11"/>
    <col width="12" customWidth="1" min="12" max="12"/>
    <col width="10" customWidth="1" min="13" max="13"/>
    <col width="10" customWidth="1" min="14" max="14"/>
    <col width="28" customWidth="1" min="15" max="15"/>
    <col width="22" customWidth="1" min="16" max="16"/>
    <col width="20" customWidth="1" min="17" max="17"/>
    <col width="6" customWidth="1" min="18" max="18"/>
    <col width="12" customWidth="1" min="19" max="19"/>
    <col width="45" customWidth="1" min="20" max="20"/>
    <col width="28" customWidth="1" min="21" max="21"/>
  </cols>
  <sheetData>
    <row r="1">
      <c r="A1" s="1" t="inlineStr">
        <is>
          <t>Boodschappenlijst — KWALITATIEF BESTE (nat 16 mm + noppen + zandcement). Hoeveelheden schalen met Parameters!B4</t>
        </is>
      </c>
    </row>
    <row r="2">
      <c r="A2" t="inlineStr">
        <is>
          <t>Doel: harde vloer zonder golven. SlimFit/egaline vervangen. Gele stuurcellen op Parameters. Verzending op sheet Verzending.</t>
        </is>
      </c>
    </row>
    <row r="4">
      <c r="A4" s="3" t="inlineStr">
        <is>
          <t>KOPJE: Vloerverwarming — kwalitatief beste</t>
        </is>
      </c>
    </row>
    <row r="5">
      <c r="A5" s="11" t="inlineStr">
        <is>
          <t>Kopje</t>
        </is>
      </c>
      <c r="B5" s="11" t="inlineStr">
        <is>
          <t>Nr</t>
        </is>
      </c>
      <c r="C5" s="11" t="inlineStr">
        <is>
          <t>Keuze</t>
        </is>
      </c>
      <c r="D5" s="11" t="inlineStr">
        <is>
          <t>Categorie</t>
        </is>
      </c>
      <c r="E5" s="11" t="inlineStr">
        <is>
          <t>Benodigd artikel</t>
        </is>
      </c>
      <c r="F5" s="11" t="inlineStr">
        <is>
          <t>Artikelnr</t>
        </is>
      </c>
      <c r="G5" s="11" t="inlineStr">
        <is>
          <t>Omschrijving</t>
        </is>
      </c>
      <c r="H5" s="11" t="inlineStr">
        <is>
          <t>Waarvoor nodig</t>
        </is>
      </c>
      <c r="I5" s="11" t="inlineStr">
        <is>
          <t>Hoeveelheid</t>
        </is>
      </c>
      <c r="J5" s="11" t="inlineStr">
        <is>
          <t>Eenheid</t>
        </is>
      </c>
      <c r="K5" s="11" t="inlineStr">
        <is>
          <t>Prijs/st</t>
        </is>
      </c>
      <c r="L5" s="11" t="inlineStr">
        <is>
          <t>Goedkoopste/st</t>
        </is>
      </c>
      <c r="M5" s="11" t="inlineStr">
        <is>
          <t>Kwaliteit</t>
        </is>
      </c>
      <c r="N5" s="11" t="inlineStr">
        <is>
          <t>Totaal</t>
        </is>
      </c>
      <c r="O5" s="11" t="inlineStr">
        <is>
          <t>Levertijd</t>
        </is>
      </c>
      <c r="P5" s="11" t="inlineStr">
        <is>
          <t>Webshop</t>
        </is>
      </c>
      <c r="Q5" s="11" t="inlineStr">
        <is>
          <t>Product-URL</t>
        </is>
      </c>
      <c r="R5" s="11" t="inlineStr">
        <is>
          <t>Land</t>
        </is>
      </c>
      <c r="S5" s="11" t="inlineStr">
        <is>
          <t>Verzenddrempel</t>
        </is>
      </c>
      <c r="T5" s="11" t="inlineStr">
        <is>
          <t>Waarom / opmerking</t>
        </is>
      </c>
      <c r="U5" s="19" t="inlineStr">
        <is>
          <t>NL-zekerheid</t>
        </is>
      </c>
    </row>
    <row r="6">
      <c r="A6" s="12" t="inlineStr">
        <is>
          <t>Vloerverwarming</t>
        </is>
      </c>
      <c r="B6" s="13" t="n">
        <v>1</v>
      </c>
      <c r="C6" s="13" t="inlineStr">
        <is>
          <t>altijd</t>
        </is>
      </c>
      <c r="D6" s="13" t="inlineStr">
        <is>
          <t>Noppenplaat</t>
        </is>
      </c>
      <c r="E6" s="13" t="inlineStr">
        <is>
          <t>MAGNUM noppenplaat geïsoleerd 28 mm (11 mm EPS) – set 10 m²</t>
        </is>
      </c>
      <c r="F6" s="13" t="inlineStr">
        <is>
          <t>W90117</t>
        </is>
      </c>
      <c r="G6" s="13" t="inlineStr">
        <is>
          <t>PS-noppen + 11 mm EPS, max. belasting 150 kPa, Rd 0,31. Voor 16/17 mm buis.</t>
        </is>
      </c>
      <c r="H6" s="13" t="inlineStr">
        <is>
          <t>Buizen vastklikken + lichte isolatie; stijve basis i.p.v. SlimFit.</t>
        </is>
      </c>
      <c r="I6" s="30">
        <f>Parameters!$B$11</f>
        <v/>
      </c>
      <c r="J6" s="13" t="inlineStr">
        <is>
          <t>set</t>
        </is>
      </c>
      <c r="K6" s="15" t="n">
        <v>136.58</v>
      </c>
      <c r="L6" s="15" t="n">
        <v>102.55</v>
      </c>
      <c r="M6" s="13" t="inlineStr">
        <is>
          <t>upgrade</t>
        </is>
      </c>
      <c r="N6" s="15">
        <f>I6*K6</f>
        <v/>
      </c>
      <c r="O6" s="13" t="inlineStr">
        <is>
          <t>NL · 1 werkdag (lengtevracht)</t>
        </is>
      </c>
      <c r="P6" s="13" t="inlineStr">
        <is>
          <t>Elektramat</t>
        </is>
      </c>
      <c r="Q6" s="13" t="inlineStr">
        <is>
          <t>https://www.elektramat.nl/magnum-noppenplaat-geisoleerd-28mm-11mm-eps-10x1000x1000mm-set-van-10m2-w90117/</t>
        </is>
      </c>
      <c r="R6" s="13" t="inlineStr">
        <is>
          <t>NL</t>
        </is>
      </c>
      <c r="S6" s="15" t="n">
        <v>150</v>
      </c>
      <c r="T6" s="13" t="inlineStr">
        <is>
          <t>28 mm i.p.v. 47 mm: veel hogere belasting (150 kPa) → hardere vloer. Schaalt met m².</t>
        </is>
      </c>
      <c r="U6" s="28" t="inlineStr">
        <is>
          <t>ZEKER — NL webshop</t>
        </is>
      </c>
    </row>
    <row r="7">
      <c r="A7" s="12" t="inlineStr">
        <is>
          <t>Vloerverwarming</t>
        </is>
      </c>
      <c r="B7" s="13" t="n">
        <v>2</v>
      </c>
      <c r="C7" s="13" t="inlineStr">
        <is>
          <t>altijd</t>
        </is>
      </c>
      <c r="D7" s="13" t="inlineStr">
        <is>
          <t>Buis</t>
        </is>
      </c>
      <c r="E7" s="13" t="inlineStr">
        <is>
          <t>MAGNUM PE-RT buis 16×2 mm KOMO – rol 240 m</t>
        </is>
      </c>
      <c r="F7" s="13" t="inlineStr">
        <is>
          <t>W16240</t>
        </is>
      </c>
      <c r="G7" s="13" t="inlineStr">
        <is>
          <t>5-laags PE-RT ø16 mm, KOMO/EVOH, tot 80 °C.</t>
        </is>
      </c>
      <c r="H7" s="13" t="inlineStr">
        <is>
          <t>Verwarmingscircuits (nat systeem).</t>
        </is>
      </c>
      <c r="I7" s="30">
        <f>Parameters!$B$13</f>
        <v/>
      </c>
      <c r="J7" s="13" t="inlineStr">
        <is>
          <t>rol</t>
        </is>
      </c>
      <c r="K7" s="15" t="n">
        <v>158.99</v>
      </c>
      <c r="L7" s="15" t="n">
        <v>158.99</v>
      </c>
      <c r="M7" s="13" t="inlineStr">
        <is>
          <t>upgrade</t>
        </is>
      </c>
      <c r="N7" s="15">
        <f>I7*K7</f>
        <v/>
      </c>
      <c r="O7" s="13" t="inlineStr">
        <is>
          <t>NL · 1 werkdag</t>
        </is>
      </c>
      <c r="P7" s="13" t="inlineStr">
        <is>
          <t>Elektramat</t>
        </is>
      </c>
      <c r="Q7" s="13" t="inlineStr">
        <is>
          <t>https://www.elektramat.nl/magnum-universele-vloerverwarmingsbuis-5-laags-pe-rt-16x2-mm-komo-rol-240-meter-w16240/</t>
        </is>
      </c>
      <c r="R7" s="13" t="inlineStr">
        <is>
          <t>NL</t>
        </is>
      </c>
      <c r="S7" s="15" t="n">
        <v>150</v>
      </c>
      <c r="T7" s="13" t="inlineStr">
        <is>
          <t>16 mm standaard voor nat/zandcement. Bij 30 m² ≈ 240 m (8 m/m²). Bundel met noppen bij Elektramat.</t>
        </is>
      </c>
      <c r="U7" s="28" t="inlineStr">
        <is>
          <t>ZEKER — NL webshop</t>
        </is>
      </c>
    </row>
    <row r="8">
      <c r="A8" s="12" t="inlineStr">
        <is>
          <t>Vloerverwarming</t>
        </is>
      </c>
      <c r="B8" s="13" t="n">
        <v>3</v>
      </c>
      <c r="C8" s="13" t="inlineStr">
        <is>
          <t>altijd</t>
        </is>
      </c>
      <c r="D8" s="13" t="inlineStr">
        <is>
          <t>Koppeling</t>
        </is>
      </c>
      <c r="E8" s="13" t="inlineStr">
        <is>
          <t>MAGNUM Euroconus 16×2 mm × ¾″ (set van 2)</t>
        </is>
      </c>
      <c r="F8" s="13" t="inlineStr">
        <is>
          <t>W90016</t>
        </is>
      </c>
      <c r="G8" s="13" t="inlineStr">
        <is>
          <t>1 set = 2 koppelingen (aanvoer+retour per groep).</t>
        </is>
      </c>
      <c r="H8" s="13" t="inlineStr">
        <is>
          <t>1 set per groep op verdeler.</t>
        </is>
      </c>
      <c r="I8" s="30">
        <f>Parameters!$B$5</f>
        <v/>
      </c>
      <c r="J8" s="13" t="inlineStr">
        <is>
          <t>set</t>
        </is>
      </c>
      <c r="K8" s="15" t="n">
        <v>4.69</v>
      </c>
      <c r="L8" s="15" t="n">
        <v>4.69</v>
      </c>
      <c r="M8" s="13" t="inlineStr">
        <is>
          <t>upgrade</t>
        </is>
      </c>
      <c r="N8" s="15">
        <f>I8*K8</f>
        <v/>
      </c>
      <c r="O8" s="13" t="inlineStr">
        <is>
          <t>NL · 1 werkdag</t>
        </is>
      </c>
      <c r="P8" s="13" t="inlineStr">
        <is>
          <t>Elektramat</t>
        </is>
      </c>
      <c r="Q8" s="13" t="inlineStr">
        <is>
          <t>https://www.elektramat.nl/magnum-adaptor-euroconus-aansluitkoppeling-16x2mm-x-3-4-2-stuks-w90016/</t>
        </is>
      </c>
      <c r="R8" s="13" t="inlineStr">
        <is>
          <t>NL</t>
        </is>
      </c>
      <c r="S8" s="15" t="n">
        <v>150</v>
      </c>
      <c r="T8" s="13" t="inlineStr">
        <is>
          <t>Schaalt met aantal groepen. Systeemecht Magnum 16 mm.</t>
        </is>
      </c>
      <c r="U8" s="28" t="inlineStr">
        <is>
          <t>ZEKER — NL webshop</t>
        </is>
      </c>
    </row>
    <row r="9">
      <c r="A9" s="12" t="inlineStr">
        <is>
          <t>Vloerverwarming</t>
        </is>
      </c>
      <c r="B9" s="13" t="n">
        <v>4</v>
      </c>
      <c r="C9" s="13" t="inlineStr">
        <is>
          <t>altijd</t>
        </is>
      </c>
      <c r="D9" s="13" t="inlineStr">
        <is>
          <t>Hulpstuk</t>
        </is>
      </c>
      <c r="E9" s="13" t="inlineStr">
        <is>
          <t>Henco geleidingsbocht ø12–18 mm</t>
        </is>
      </c>
      <c r="F9" s="13" t="inlineStr">
        <is>
          <t>UFH-BEND1218</t>
        </is>
      </c>
      <c r="G9" s="13" t="inlineStr">
        <is>
          <t>Kunststof opgangbocht onder verdeler.</t>
        </is>
      </c>
      <c r="H9" s="13" t="inlineStr">
        <is>
          <t>Opgang verdeler→vloer (aanvoer+retour).</t>
        </is>
      </c>
      <c r="I9" s="30">
        <f>Parameters!$B$16</f>
        <v/>
      </c>
      <c r="J9" s="13" t="inlineStr">
        <is>
          <t>st</t>
        </is>
      </c>
      <c r="K9" s="15" t="n">
        <v>1.45</v>
      </c>
      <c r="L9" s="15" t="n">
        <v>1.45</v>
      </c>
      <c r="M9" s="13" t="inlineStr">
        <is>
          <t>behouden</t>
        </is>
      </c>
      <c r="N9" s="15">
        <f>I9*K9</f>
        <v/>
      </c>
      <c r="O9" s="13" t="inlineStr">
        <is>
          <t>NL · 1 werkdag</t>
        </is>
      </c>
      <c r="P9" s="13" t="inlineStr">
        <is>
          <t>Elektramat</t>
        </is>
      </c>
      <c r="Q9" s="13" t="inlineStr">
        <is>
          <t>https://www.elektramat.nl/henco-geleidingsbocht-voor-buis-o12-18mm-ufh-bend1218/</t>
        </is>
      </c>
      <c r="R9" s="13" t="inlineStr">
        <is>
          <t>NL</t>
        </is>
      </c>
      <c r="S9" s="15" t="n">
        <v>150</v>
      </c>
      <c r="T9" s="13" t="inlineStr">
        <is>
          <t>2 stuks per groep. Zelfde Elektramat-order als buis/noppen.</t>
        </is>
      </c>
      <c r="U9" s="28" t="inlineStr">
        <is>
          <t>ZEKER — NL webshop</t>
        </is>
      </c>
    </row>
    <row r="10">
      <c r="A10" s="12" t="inlineStr">
        <is>
          <t>Vloerverwarming</t>
        </is>
      </c>
      <c r="B10" s="13" t="n">
        <v>5</v>
      </c>
      <c r="C10" s="13" t="inlineStr">
        <is>
          <t>altijd</t>
        </is>
      </c>
      <c r="D10" s="13" t="inlineStr">
        <is>
          <t>Rand</t>
        </is>
      </c>
      <c r="E10" s="13" t="inlineStr">
        <is>
          <t>NMC Climasol randisolatie 150×8 mm – rol 25 m</t>
        </is>
      </c>
      <c r="F10" s="13" t="inlineStr">
        <is>
          <t>CLIMASOL</t>
        </is>
      </c>
      <c r="G10" s="13" t="inlineStr">
        <is>
          <t>Zelfklevend, met flap.</t>
        </is>
      </c>
      <c r="H10" s="13" t="inlineStr">
        <is>
          <t>Rondom muren; voorkomt scheuren in dekvloer.</t>
        </is>
      </c>
      <c r="I10" s="30">
        <f>Parameters!$B$15</f>
        <v/>
      </c>
      <c r="J10" s="13" t="inlineStr">
        <is>
          <t>rol</t>
        </is>
      </c>
      <c r="K10" s="15" t="n">
        <v>23.99</v>
      </c>
      <c r="L10" s="15" t="n">
        <v>15.62</v>
      </c>
      <c r="M10" s="13" t="inlineStr">
        <is>
          <t>upgrade</t>
        </is>
      </c>
      <c r="N10" s="15">
        <f>I10*K10</f>
        <v/>
      </c>
      <c r="O10" s="13" t="inlineStr">
        <is>
          <t>NL · vaak volgende werkdag</t>
        </is>
      </c>
      <c r="P10" s="13" t="inlineStr">
        <is>
          <t>Installand</t>
        </is>
      </c>
      <c r="Q10" s="13" t="inlineStr">
        <is>
          <t>https://www.installand.nl/gena-climasol-randisolatie-zelfklevend-150-x-8-mm-rol-25-m</t>
        </is>
      </c>
      <c r="R10" s="13" t="inlineStr">
        <is>
          <t>NL</t>
        </is>
      </c>
      <c r="S10" s="15" t="n">
        <v>60</v>
      </c>
      <c r="T10" s="13" t="inlineStr">
        <is>
          <t>Kwaliteitsupgrade; essentieel bij zandcement.</t>
        </is>
      </c>
      <c r="U10" s="28" t="inlineStr">
        <is>
          <t>ZEKER — NL webshop</t>
        </is>
      </c>
    </row>
    <row r="11">
      <c r="A11" s="16" t="inlineStr">
        <is>
          <t>Vloerverwarming</t>
        </is>
      </c>
      <c r="B11" s="13" t="n">
        <v>6</v>
      </c>
      <c r="C11" s="13" t="inlineStr">
        <is>
          <t>altijd</t>
        </is>
      </c>
      <c r="D11" s="13" t="inlineStr">
        <is>
          <t>Wapening</t>
        </is>
      </c>
      <c r="E11" s="13" t="inlineStr">
        <is>
          <t>Krimpnet verzinkt ø3 mm maas 100×100 – 120×210 cm</t>
        </is>
      </c>
      <c r="F11" s="13" t="inlineStr">
        <is>
          <t>KN-3100</t>
        </is>
      </c>
      <c r="G11" s="13" t="inlineStr">
        <is>
          <t>≈2,52 m²/mat; wapening/krimpbeheersing in dekvloer.</t>
        </is>
      </c>
      <c r="H11" s="13" t="inlineStr">
        <is>
          <t>In/op zandcement boven buizen tegen scheuren.</t>
        </is>
      </c>
      <c r="I11" s="30">
        <f>Parameters!$B$12</f>
        <v/>
      </c>
      <c r="J11" s="13" t="inlineStr">
        <is>
          <t>mat</t>
        </is>
      </c>
      <c r="K11" s="15" t="n">
        <v>9.789999999999999</v>
      </c>
      <c r="L11" s="15" t="n">
        <v>5.66</v>
      </c>
      <c r="M11" s="13" t="inlineStr">
        <is>
          <t>upgrade</t>
        </is>
      </c>
      <c r="N11" s="15">
        <f>I11*K11</f>
        <v/>
      </c>
      <c r="O11" s="13" t="inlineStr">
        <is>
          <t>NL · ≤ 1 week</t>
        </is>
      </c>
      <c r="P11" s="13" t="inlineStr">
        <is>
          <t>Overkamp Meddo</t>
        </is>
      </c>
      <c r="Q11" s="13" t="inlineStr">
        <is>
          <t>https://overkampmeddo.nl/a/bouwstaalmat-3-100-mm-2100-1200-mm-verzinkt-krimpnet</t>
        </is>
      </c>
      <c r="R11" s="13" t="inlineStr">
        <is>
          <t>NL</t>
        </is>
      </c>
      <c r="S11" s="15" t="n">
        <v>50</v>
      </c>
      <c r="T11" s="13" t="inlineStr">
        <is>
          <t>Kwaliteit: 100×100 i.p.v. grovere maas. Overlap ≥1 maas.</t>
        </is>
      </c>
      <c r="U11" s="28" t="inlineStr">
        <is>
          <t>ZEKER — NL webshop</t>
        </is>
      </c>
    </row>
    <row r="12">
      <c r="A12" s="12" t="inlineStr">
        <is>
          <t>Vloerverwarming</t>
        </is>
      </c>
      <c r="B12" s="13" t="n">
        <v>7</v>
      </c>
      <c r="C12" s="13" t="inlineStr">
        <is>
          <t>altijd</t>
        </is>
      </c>
      <c r="D12" s="13" t="inlineStr">
        <is>
          <t>Dekvloer</t>
        </is>
      </c>
      <c r="E12" s="13" t="inlineStr">
        <is>
          <t>Zandcement dekvloer ≥50 mm boven buis (vloerzetter, indicatief)</t>
        </is>
      </c>
      <c r="F12" s="13" t="inlineStr">
        <is>
          <t>ZC-50</t>
        </is>
      </c>
      <c r="G12" s="13" t="inlineStr">
        <is>
          <t>Traditionele cementdekvloer; Magnum eist min. 50 mm boven buis.</t>
        </is>
      </c>
      <c r="H12" s="13" t="inlineStr">
        <is>
          <t>Harde, massieve loopvloer — geen golven.</t>
        </is>
      </c>
      <c r="I12" s="30">
        <f>Parameters!$B$18</f>
        <v/>
      </c>
      <c r="J12" s="13" t="inlineStr">
        <is>
          <t>m²</t>
        </is>
      </c>
      <c r="K12" s="15" t="n">
        <v>35</v>
      </c>
      <c r="L12" s="15" t="n">
        <v>25</v>
      </c>
      <c r="M12" s="13" t="inlineStr">
        <is>
          <t>upgrade</t>
        </is>
      </c>
      <c r="N12" s="15">
        <f>I12*K12</f>
        <v/>
      </c>
      <c r="O12" s="13" t="inlineStr">
        <is>
          <t>NL · lokaal (vloerzetter; planning 1–2 wkn typisch)</t>
        </is>
      </c>
      <c r="P12" s="13" t="inlineStr">
        <is>
          <t>Lokale vloerzetter NL</t>
        </is>
      </c>
      <c r="Q12" s="13" t="inlineStr">
        <is>
          <t>https://www.magnumheating.nl/product/noppenplaat/</t>
        </is>
      </c>
      <c r="R12" s="13" t="inlineStr">
        <is>
          <t>NL</t>
        </is>
      </c>
      <c r="S12" s="15" t="n">
        <v>0</v>
      </c>
      <c r="T12" s="13" t="inlineStr">
        <is>
          <t>INDICATIEF €25–55/m² incl. arbeid. Vraag 2 offertes. Kern van “kwalitatief beste” t.o.v. SlimFit/egaline.</t>
        </is>
      </c>
      <c r="U12" s="28" t="inlineStr">
        <is>
          <t>ZEKER — lokaal NL (geen webshop-SKU)</t>
        </is>
      </c>
    </row>
    <row r="13">
      <c r="A13" s="12" t="inlineStr">
        <is>
          <t>Vloerverwarming</t>
        </is>
      </c>
      <c r="B13" s="13" t="n">
        <v>8</v>
      </c>
      <c r="C13" s="13" t="inlineStr">
        <is>
          <t>altijd</t>
        </is>
      </c>
      <c r="D13" s="13" t="inlineStr">
        <is>
          <t>Verdeler</t>
        </is>
      </c>
      <c r="E13" s="13" t="inlineStr">
        <is>
          <t>VTE Composiet 4-groeps mengverdeler + Grundfos UPM3 pomp</t>
        </is>
      </c>
      <c r="F13" s="13" t="inlineStr">
        <is>
          <t>KU100104GU</t>
        </is>
      </c>
      <c r="G13" s="13" t="inlineStr">
        <is>
          <t>Composiet, flowmeters, M30, koelbaar.</t>
        </is>
      </c>
      <c r="H13" s="13" t="inlineStr">
        <is>
          <t>Hart van het systeem.</t>
        </is>
      </c>
      <c r="I13" s="30" t="n">
        <v>1</v>
      </c>
      <c r="J13" s="13" t="inlineStr">
        <is>
          <t>st</t>
        </is>
      </c>
      <c r="K13" s="15" t="n">
        <v>387.18</v>
      </c>
      <c r="L13" s="15" t="n">
        <v>305.95</v>
      </c>
      <c r="M13" s="13" t="inlineStr">
        <is>
          <t>upgrade</t>
        </is>
      </c>
      <c r="N13" s="15">
        <f>I13*K13</f>
        <v/>
      </c>
      <c r="O13" s="13" t="inlineStr">
        <is>
          <t>NL · op voorraad, volgende werkdag mogelijk</t>
        </is>
      </c>
      <c r="P13" s="13" t="inlineStr">
        <is>
          <t>123Installatieshop</t>
        </is>
      </c>
      <c r="Q13" s="13" t="inlineStr">
        <is>
          <t>https://www.123installatieshop.nl/vte-composiet-verdeler-4-groepen-met-pomp-ku100104gu</t>
        </is>
      </c>
      <c r="R13" s="13" t="inlineStr">
        <is>
          <t>NL</t>
        </is>
      </c>
      <c r="S13" s="15" t="n">
        <v>150</v>
      </c>
      <c r="T13" s="13" t="inlineStr">
        <is>
          <t>PRIJS = 4-groeps. Bij andere groepen: andere SKU!</t>
        </is>
      </c>
      <c r="U13" s="28" t="inlineStr">
        <is>
          <t>ZEKER — NL webshop</t>
        </is>
      </c>
    </row>
    <row r="14">
      <c r="A14" s="16" t="inlineStr">
        <is>
          <t>Vloerverwarming</t>
        </is>
      </c>
      <c r="B14" s="13" t="n">
        <v>9</v>
      </c>
      <c r="C14" s="13" t="inlineStr">
        <is>
          <t>altijd</t>
        </is>
      </c>
      <c r="D14" s="13" t="inlineStr">
        <is>
          <t>Leiding</t>
        </is>
      </c>
      <c r="E14" s="13" t="inlineStr">
        <is>
          <t>Aanvoer + retourleiding (meerlagenbuis 16×2)</t>
        </is>
      </c>
      <c r="F14" s="13" t="inlineStr">
        <is>
          <t>ML162</t>
        </is>
      </c>
      <c r="G14" s="13" t="inlineStr">
        <is>
          <t>Primair cv/wp → verdeler.</t>
        </is>
      </c>
      <c r="H14" s="13" t="inlineStr">
        <is>
          <t>cv/wp → verdeler.</t>
        </is>
      </c>
      <c r="I14" s="30">
        <f>MAX(8,ROUND(Parameters!$B$4/3,0))</f>
        <v/>
      </c>
      <c r="J14" s="13" t="inlineStr">
        <is>
          <t>m</t>
        </is>
      </c>
      <c r="K14" s="15" t="n">
        <v>6.5</v>
      </c>
      <c r="L14" s="15" t="n">
        <v>6.5</v>
      </c>
      <c r="M14" s="13" t="inlineStr">
        <is>
          <t>behouden</t>
        </is>
      </c>
      <c r="N14" s="15">
        <f>I14*K14</f>
        <v/>
      </c>
      <c r="O14" s="13" t="inlineStr">
        <is>
          <t>NL · ≤ 1 week</t>
        </is>
      </c>
      <c r="P14" s="13" t="inlineStr">
        <is>
          <t>123Installatieshop / bouwmarkt NL</t>
        </is>
      </c>
      <c r="Q14" s="13" t="inlineStr">
        <is>
          <t>https://www.123installatieshop.nl/</t>
        </is>
      </c>
      <c r="R14" s="13" t="inlineStr">
        <is>
          <t>NL</t>
        </is>
      </c>
      <c r="S14" s="15" t="n">
        <v>0</v>
      </c>
      <c r="T14" s="13" t="inlineStr">
        <is>
          <t>Situatie-afhankelijk.</t>
        </is>
      </c>
      <c r="U14" s="28" t="inlineStr">
        <is>
          <t>ZEKER — NL</t>
        </is>
      </c>
    </row>
    <row r="15">
      <c r="A15" s="12" t="inlineStr">
        <is>
          <t>Vloerverwarming</t>
        </is>
      </c>
      <c r="B15" s="13" t="n">
        <v>10</v>
      </c>
      <c r="C15" s="13" t="inlineStr">
        <is>
          <t>altijd</t>
        </is>
      </c>
      <c r="D15" s="13" t="inlineStr">
        <is>
          <t>Afsluiters</t>
        </is>
      </c>
      <c r="E15" s="13" t="inlineStr">
        <is>
          <t>Kogelkranen / koppelingen set</t>
        </is>
      </c>
      <c r="F15" s="13" t="inlineStr">
        <is>
          <t>KK-SET</t>
        </is>
      </c>
      <c r="G15" s="13" t="inlineStr">
        <is>
          <t>Afsluitbaar maken.</t>
        </is>
      </c>
      <c r="H15" s="13" t="inlineStr">
        <is>
          <t>Service/afsluitbaar.</t>
        </is>
      </c>
      <c r="I15" s="30" t="n">
        <v>1</v>
      </c>
      <c r="J15" s="13" t="inlineStr">
        <is>
          <t>set</t>
        </is>
      </c>
      <c r="K15" s="15" t="n">
        <v>34.95</v>
      </c>
      <c r="L15" s="15" t="n">
        <v>34.95</v>
      </c>
      <c r="M15" s="13" t="inlineStr">
        <is>
          <t>behouden</t>
        </is>
      </c>
      <c r="N15" s="15">
        <f>I15*K15</f>
        <v/>
      </c>
      <c r="O15" s="13" t="inlineStr">
        <is>
          <t>NL · ≤ 1 week</t>
        </is>
      </c>
      <c r="P15" s="13" t="inlineStr">
        <is>
          <t>123Installatieshop</t>
        </is>
      </c>
      <c r="Q15" s="13" t="inlineStr">
        <is>
          <t>https://www.123installatieshop.nl/</t>
        </is>
      </c>
      <c r="R15" s="13" t="inlineStr">
        <is>
          <t>NL</t>
        </is>
      </c>
      <c r="S15" s="15" t="n">
        <v>150</v>
      </c>
      <c r="T15" s="13" t="inlineStr">
        <is>
          <t>Vast per installatie.</t>
        </is>
      </c>
      <c r="U15" s="28" t="inlineStr">
        <is>
          <t>ZEKER — NL webshop</t>
        </is>
      </c>
    </row>
    <row r="16">
      <c r="A16" s="12" t="inlineStr">
        <is>
          <t>Vloerverwarming</t>
        </is>
      </c>
      <c r="B16" s="13" t="n">
        <v>11</v>
      </c>
      <c r="C16" s="13" t="inlineStr">
        <is>
          <t>altijd</t>
        </is>
      </c>
      <c r="D16" s="13" t="inlineStr">
        <is>
          <t>Actuator</t>
        </is>
      </c>
      <c r="E16" s="13" t="inlineStr">
        <is>
          <t>Möhlenhoff Alpha 5 thermische motor 230V NC M30×1,5 (+ adapter)</t>
        </is>
      </c>
      <c r="F16" s="13" t="inlineStr">
        <is>
          <t>A20405-00N80-1S</t>
        </is>
      </c>
      <c r="G16" s="13" t="inlineStr">
        <is>
          <t>NC 230V, VA80 adapter, 1 W.</t>
        </is>
      </c>
      <c r="H16" s="13" t="inlineStr">
        <is>
          <t>1 per groep.</t>
        </is>
      </c>
      <c r="I16" s="30">
        <f>Parameters!$B$5</f>
        <v/>
      </c>
      <c r="J16" s="13" t="inlineStr">
        <is>
          <t>st</t>
        </is>
      </c>
      <c r="K16" s="15">
        <f>IF(ISNUMBER(SEARCH("NL zeker",Parameters!$B$8)),20.12,9.99)</f>
        <v/>
      </c>
      <c r="L16" s="15">
        <f>K16</f>
        <v/>
      </c>
      <c r="M16" s="13" t="inlineStr">
        <is>
          <t>upgrade</t>
        </is>
      </c>
      <c r="N16" s="15">
        <f>I16*K16</f>
        <v/>
      </c>
      <c r="O16" s="13">
        <f>IF(ISNUMBER(SEARCH("NL zeker",Parameters!$B$8)),"NL · 3–4 werkdagen (VerwarmingOnline)","DE→NL · 2–5 wd DE + NL-transit (eibhandel DHL)")</f>
        <v/>
      </c>
      <c r="P16" s="13">
        <f>IF(ISNUMBER(SEARCH("NL zeker",Parameters!$B$8)),"VerwarmingOnline","eibhandel.de")</f>
        <v/>
      </c>
      <c r="Q16" s="13">
        <f>IF(ISNUMBER(SEARCH("NL zeker",Parameters!$B$8)),"https://verwarmingonline.nl/productgroepen/mohlenhoff-thermische-servomotor-alpha-5-nc-m30x15mm-230v-a-20405-00n/","https://eibhandel.de/Alpha-Antrieb-230V-NC-incl-Adapter-VA80")</f>
        <v/>
      </c>
      <c r="R16" s="13">
        <f>IF(ISNUMBER(SEARCH("NL zeker",Parameters!$B$8)),"NL","DE→NL")</f>
        <v/>
      </c>
      <c r="S16" s="15">
        <f>IF(ISNUMBER(SEARCH("NL zeker",Parameters!$B$8)),385,1000)</f>
        <v/>
      </c>
      <c r="T16" s="13" t="inlineStr">
        <is>
          <t>Schakel via Parameters!B8. DE→NL: verzending ≈€15,41.</t>
        </is>
      </c>
      <c r="U16" s="28">
        <f>IF(ISNUMBER(SEARCH("NL zeker",Parameters!$B$8)),"ZEKER — NL webshop","DE→NL bevestigd (DHL zone 1)")</f>
        <v/>
      </c>
    </row>
    <row r="17">
      <c r="A17" s="16" t="inlineStr">
        <is>
          <t>Vloerverwarming</t>
        </is>
      </c>
      <c r="B17" s="13" t="n">
        <v>12</v>
      </c>
      <c r="C17" s="13" t="inlineStr">
        <is>
          <t>altijd</t>
        </is>
      </c>
      <c r="D17" s="13" t="inlineStr">
        <is>
          <t>Elektra</t>
        </is>
      </c>
      <c r="E17" s="13" t="inlineStr">
        <is>
          <t>Elektrakabel 230V / signaalkabel (installatiekwaliteit)</t>
        </is>
      </c>
      <c r="F17" s="13" t="inlineStr">
        <is>
          <t>ELEKTRA</t>
        </is>
      </c>
      <c r="G17" s="13" t="inlineStr">
        <is>
          <t>Voeding pomp/regeling/actuators.</t>
        </is>
      </c>
      <c r="H17" s="13" t="inlineStr">
        <is>
          <t>Elektra.</t>
        </is>
      </c>
      <c r="I17" s="30" t="n">
        <v>1</v>
      </c>
      <c r="J17" s="13" t="inlineStr">
        <is>
          <t>kleinmateriaal</t>
        </is>
      </c>
      <c r="K17" s="15" t="n">
        <v>25</v>
      </c>
      <c r="L17" s="15" t="n">
        <v>20</v>
      </c>
      <c r="M17" s="13" t="inlineStr">
        <is>
          <t>upgrade</t>
        </is>
      </c>
      <c r="N17" s="15">
        <f>I17*K17</f>
        <v/>
      </c>
      <c r="O17" s="13" t="inlineStr">
        <is>
          <t>NL · 1 werkdag / afhalen</t>
        </is>
      </c>
      <c r="P17" s="13" t="inlineStr">
        <is>
          <t>Elektramat</t>
        </is>
      </c>
      <c r="Q17" s="13" t="inlineStr">
        <is>
          <t>https://www.elektramat.nl/draad-en-kabel/installatiekabel/</t>
        </is>
      </c>
      <c r="R17" s="29" t="inlineStr">
        <is>
          <t>NL</t>
        </is>
      </c>
      <c r="S17" s="15" t="n">
        <v>0</v>
      </c>
      <c r="T17" s="13" t="inlineStr">
        <is>
          <t>Vast; bij groter project licht ophogen. Bundel met Magnum-order.</t>
        </is>
      </c>
      <c r="U17" t="inlineStr">
        <is>
          <t>ZEKER — NL</t>
        </is>
      </c>
    </row>
    <row r="18">
      <c r="A18" s="16" t="inlineStr">
        <is>
          <t>Vloerverwarming</t>
        </is>
      </c>
      <c r="B18" s="13" t="n">
        <v>13</v>
      </c>
      <c r="C18" s="13" t="inlineStr">
        <is>
          <t>h64</t>
        </is>
      </c>
      <c r="D18" s="13" t="inlineStr">
        <is>
          <t>Regeling</t>
        </is>
      </c>
      <c r="E18" s="13" t="inlineStr">
        <is>
          <t>MAGNUM H64-CC + master WiFi-thermostaat</t>
        </is>
      </c>
      <c r="F18" s="13" t="inlineStr">
        <is>
          <t>W81000</t>
        </is>
      </c>
      <c r="G18" s="13" t="inlineStr">
        <is>
          <t>Control Center + master.</t>
        </is>
      </c>
      <c r="H18" s="13" t="inlineStr">
        <is>
          <t>Alleen bij keuze H64.</t>
        </is>
      </c>
      <c r="I18" s="30" t="n">
        <v>1</v>
      </c>
      <c r="J18" s="13" t="inlineStr">
        <is>
          <t>set</t>
        </is>
      </c>
      <c r="K18" s="15" t="n">
        <v>194.92</v>
      </c>
      <c r="L18" s="15" t="n">
        <v>194.92</v>
      </c>
      <c r="M18" s="13" t="inlineStr">
        <is>
          <t>behouden</t>
        </is>
      </c>
      <c r="N18" s="15">
        <f>I18*K18</f>
        <v/>
      </c>
      <c r="O18" s="13" t="inlineStr">
        <is>
          <t>NL · 1 werkdag</t>
        </is>
      </c>
      <c r="P18" s="13" t="inlineStr">
        <is>
          <t>Warp Systems</t>
        </is>
      </c>
      <c r="Q18" s="13" t="inlineStr">
        <is>
          <t>https://shop.warp-systems.com/h64-control-center-master-wifi-thermostaat-wit-of-zwart-magh64cc-mt-c</t>
        </is>
      </c>
      <c r="R18" s="13" t="inlineStr">
        <is>
          <t>NL</t>
        </is>
      </c>
      <c r="S18" s="15" t="n">
        <v>0</v>
      </c>
      <c r="T18" s="13" t="inlineStr">
        <is>
          <t>NL-fabrikant.</t>
        </is>
      </c>
      <c r="U18" s="28" t="inlineStr">
        <is>
          <t>ZEKER — NL fabrikant</t>
        </is>
      </c>
    </row>
    <row r="19">
      <c r="A19" s="12" t="inlineStr">
        <is>
          <t>Vloerverwarming</t>
        </is>
      </c>
      <c r="B19" s="13" t="n">
        <v>14</v>
      </c>
      <c r="C19" s="13" t="inlineStr">
        <is>
          <t>h64</t>
        </is>
      </c>
      <c r="D19" s="13" t="inlineStr">
        <is>
          <t>Regeling</t>
        </is>
      </c>
      <c r="E19" s="13" t="inlineStr">
        <is>
          <t>MAGNUM H64-ST slave thermostaat</t>
        </is>
      </c>
      <c r="F19" s="13" t="inlineStr">
        <is>
          <t>W81010</t>
        </is>
      </c>
      <c r="G19" s="13" t="inlineStr">
        <is>
          <t>Slave per extra ruimte.</t>
        </is>
      </c>
      <c r="H19" s="13" t="inlineStr">
        <is>
          <t>Ruimte 2…N bij H64.</t>
        </is>
      </c>
      <c r="I19" s="30">
        <f>MAX(0,Parameters!$B$6-1)</f>
        <v/>
      </c>
      <c r="J19" s="13" t="inlineStr">
        <is>
          <t>st</t>
        </is>
      </c>
      <c r="K19" s="15" t="n">
        <v>44.58</v>
      </c>
      <c r="L19" s="15" t="n">
        <v>44.58</v>
      </c>
      <c r="M19" s="13" t="inlineStr">
        <is>
          <t>behouden</t>
        </is>
      </c>
      <c r="N19" s="15">
        <f>I19*K19</f>
        <v/>
      </c>
      <c r="O19" s="13" t="inlineStr">
        <is>
          <t>NL · 1 werkdag</t>
        </is>
      </c>
      <c r="P19" s="13" t="inlineStr">
        <is>
          <t>Warp Systems</t>
        </is>
      </c>
      <c r="Q19" s="13" t="inlineStr">
        <is>
          <t>https://shop.warp-systems.com/catalogsearch/result/?q=slave+H64</t>
        </is>
      </c>
      <c r="R19" s="13" t="inlineStr">
        <is>
          <t>NL</t>
        </is>
      </c>
      <c r="S19" s="15" t="n">
        <v>0</v>
      </c>
      <c r="T19" s="13" t="inlineStr">
        <is>
          <t>Schaalt met ruimten−1.</t>
        </is>
      </c>
      <c r="U19" s="28" t="inlineStr">
        <is>
          <t>ZEKER — NL fabrikant</t>
        </is>
      </c>
    </row>
    <row r="20">
      <c r="A20" s="12" t="inlineStr">
        <is>
          <t>Vloerverwarming</t>
        </is>
      </c>
      <c r="B20" s="13" t="n">
        <v>15</v>
      </c>
      <c r="C20" s="13" t="inlineStr">
        <is>
          <t>tado_draadloos</t>
        </is>
      </c>
      <c r="D20" s="13" t="inlineStr">
        <is>
          <t>Regeling</t>
        </is>
      </c>
      <c r="E20" s="13" t="inlineStr">
        <is>
          <t>tado° Draadloze Slimme Thermostaat X Starterskit</t>
        </is>
      </c>
      <c r="F20" s="13" t="inlineStr">
        <is>
          <t>TADO-WX</t>
        </is>
      </c>
      <c r="G20" s="13" t="inlineStr">
        <is>
          <t>Wireless X + Bridge.</t>
        </is>
      </c>
      <c r="H20" s="13" t="inlineStr">
        <is>
          <t>1 kit per ruimte (draadloos).</t>
        </is>
      </c>
      <c r="I20" s="30">
        <f>Parameters!$B$6</f>
        <v/>
      </c>
      <c r="J20" s="13" t="inlineStr">
        <is>
          <t>set</t>
        </is>
      </c>
      <c r="K20" s="15" t="n">
        <v>129</v>
      </c>
      <c r="L20" s="15" t="n">
        <v>129</v>
      </c>
      <c r="M20" s="13" t="inlineStr">
        <is>
          <t>behouden</t>
        </is>
      </c>
      <c r="N20" s="15">
        <f>I20*K20</f>
        <v/>
      </c>
      <c r="O20" s="13" t="inlineStr">
        <is>
          <t>NL/EU · 2–4 werkdagen</t>
        </is>
      </c>
      <c r="P20" s="13" t="inlineStr">
        <is>
          <t>tado° Shop</t>
        </is>
      </c>
      <c r="Q20" s="13" t="inlineStr">
        <is>
          <t>https://shop.tado.com/nl-bx/products/wireless-smart-thermostat-x-starter-kit</t>
        </is>
      </c>
      <c r="R20" s="13" t="inlineStr">
        <is>
          <t>NL</t>
        </is>
      </c>
      <c r="S20" s="15" t="n">
        <v>150</v>
      </c>
      <c r="T20" s="13" t="inlineStr">
        <is>
          <t>Schaalt met ruimten.</t>
        </is>
      </c>
      <c r="U20" s="28" t="inlineStr">
        <is>
          <t>ZEKER — tado° NL-shop</t>
        </is>
      </c>
    </row>
    <row r="21">
      <c r="A21" s="12" t="inlineStr">
        <is>
          <t>Vloerverwarming</t>
        </is>
      </c>
      <c r="B21" s="13" t="n">
        <v>16</v>
      </c>
      <c r="C21" s="13" t="inlineStr">
        <is>
          <t>tado_bedraad</t>
        </is>
      </c>
      <c r="D21" s="13" t="inlineStr">
        <is>
          <t>Regeling</t>
        </is>
      </c>
      <c r="E21" s="13" t="inlineStr">
        <is>
          <t>tado° Slimme Thermostaat X Starterskit bedraad + Bridge X</t>
        </is>
      </c>
      <c r="F21" s="13" t="inlineStr">
        <is>
          <t>TADO-WX-W</t>
        </is>
      </c>
      <c r="G21" s="13" t="inlineStr">
        <is>
          <t>Wired starter + Bridge.</t>
        </is>
      </c>
      <c r="H21" s="13" t="inlineStr">
        <is>
          <t>Kamer 1 + netwerk.</t>
        </is>
      </c>
      <c r="I21" s="30" t="n">
        <v>1</v>
      </c>
      <c r="J21" s="13" t="inlineStr">
        <is>
          <t>set</t>
        </is>
      </c>
      <c r="K21" s="15" t="n">
        <v>129.99</v>
      </c>
      <c r="L21" s="15" t="n">
        <v>129.99</v>
      </c>
      <c r="M21" s="13" t="inlineStr">
        <is>
          <t>upgrade</t>
        </is>
      </c>
      <c r="N21" s="15">
        <f>I21*K21</f>
        <v/>
      </c>
      <c r="O21" s="13" t="inlineStr">
        <is>
          <t>NL/EU · 2–4 werkdagen</t>
        </is>
      </c>
      <c r="P21" s="13" t="inlineStr">
        <is>
          <t>tado° Shop</t>
        </is>
      </c>
      <c r="Q21" s="13" t="inlineStr">
        <is>
          <t>https://shop.tado.com/nl-bx/products/smart-thermostat-x-starter-kit-1</t>
        </is>
      </c>
      <c r="R21" s="13" t="inlineStr">
        <is>
          <t>NL</t>
        </is>
      </c>
      <c r="S21" s="15" t="n">
        <v>150</v>
      </c>
      <c r="T21" s="13" t="inlineStr">
        <is>
          <t>Aanbevolen pad (bedraad).</t>
        </is>
      </c>
      <c r="U21" s="28" t="inlineStr">
        <is>
          <t>ZEKER — tado° NL-shop</t>
        </is>
      </c>
    </row>
    <row r="22">
      <c r="A22" s="16" t="inlineStr">
        <is>
          <t>Vloerverwarming</t>
        </is>
      </c>
      <c r="B22" s="13" t="n">
        <v>17</v>
      </c>
      <c r="C22" s="13" t="inlineStr">
        <is>
          <t>tado_bedraad</t>
        </is>
      </c>
      <c r="D22" s="13" t="inlineStr">
        <is>
          <t>Regeling</t>
        </is>
      </c>
      <c r="E22" s="13" t="inlineStr">
        <is>
          <t>tado° Slimme Thermostaat X bedraad (uitbreiding)</t>
        </is>
      </c>
      <c r="F22" s="13" t="inlineStr">
        <is>
          <t>TADO-WX-E</t>
        </is>
      </c>
      <c r="G22" s="13" t="inlineStr">
        <is>
          <t>Extra bedrade thermostaat.</t>
        </is>
      </c>
      <c r="H22" s="13" t="inlineStr">
        <is>
          <t>Kamer 2…N.</t>
        </is>
      </c>
      <c r="I22" s="30">
        <f>MAX(0,Parameters!$B$6-1)</f>
        <v/>
      </c>
      <c r="J22" s="13" t="inlineStr">
        <is>
          <t>st</t>
        </is>
      </c>
      <c r="K22" s="15" t="n">
        <v>100</v>
      </c>
      <c r="L22" s="15" t="n">
        <v>100</v>
      </c>
      <c r="M22" s="13" t="inlineStr">
        <is>
          <t>upgrade</t>
        </is>
      </c>
      <c r="N22" s="15">
        <f>I22*K22</f>
        <v/>
      </c>
      <c r="O22" s="13" t="inlineStr">
        <is>
          <t>NL/EU · 2–4 werkdagen</t>
        </is>
      </c>
      <c r="P22" s="13" t="inlineStr">
        <is>
          <t>tado° Shop</t>
        </is>
      </c>
      <c r="Q22" s="13" t="inlineStr">
        <is>
          <t>https://shop.tado.com/nl-bx/products/smart-thermostat-x-wired</t>
        </is>
      </c>
      <c r="R22" s="13" t="inlineStr">
        <is>
          <t>NL</t>
        </is>
      </c>
      <c r="S22" s="15" t="n">
        <v>150</v>
      </c>
      <c r="T22" s="13" t="inlineStr">
        <is>
          <t>Schaalt met ruimten−1.</t>
        </is>
      </c>
      <c r="U22" s="28" t="inlineStr">
        <is>
          <t>ZEKER — tado° NL-shop</t>
        </is>
      </c>
    </row>
    <row r="23">
      <c r="A23" s="16" t="inlineStr">
        <is>
          <t>Vloerverwarming</t>
        </is>
      </c>
      <c r="B23" s="13" t="n">
        <v>18</v>
      </c>
      <c r="C23" s="13" t="inlineStr">
        <is>
          <t>tado_optie</t>
        </is>
      </c>
      <c r="D23" s="13" t="inlineStr">
        <is>
          <t>Regeling</t>
        </is>
      </c>
      <c r="E23" s="13" t="inlineStr">
        <is>
          <t>tado° Bridge X (extra indien nodig)</t>
        </is>
      </c>
      <c r="F23" s="13" t="inlineStr">
        <is>
          <t>TADO-BR</t>
        </is>
      </c>
      <c r="G23" s="13" t="inlineStr">
        <is>
          <t>Alleen bij bereikproblemen.</t>
        </is>
      </c>
      <c r="H23" s="13" t="inlineStr">
        <is>
          <t>Optioneel.</t>
        </is>
      </c>
      <c r="I23" s="30" t="n">
        <v>0</v>
      </c>
      <c r="J23" s="13" t="inlineStr">
        <is>
          <t>st</t>
        </is>
      </c>
      <c r="K23" s="15" t="n">
        <v>68</v>
      </c>
      <c r="L23" s="15" t="n">
        <v>68</v>
      </c>
      <c r="M23" s="13" t="inlineStr">
        <is>
          <t>behouden</t>
        </is>
      </c>
      <c r="N23" s="15">
        <f>I23*K23</f>
        <v/>
      </c>
      <c r="O23" s="13" t="inlineStr">
        <is>
          <t>NL/EU · 2–4 werkdagen</t>
        </is>
      </c>
      <c r="P23" s="13" t="inlineStr">
        <is>
          <t>tado° Shop</t>
        </is>
      </c>
      <c r="Q23" s="13" t="inlineStr">
        <is>
          <t>https://shop.tado.com/nl-bx/</t>
        </is>
      </c>
      <c r="R23" s="13" t="inlineStr">
        <is>
          <t>NL</t>
        </is>
      </c>
      <c r="S23" s="15" t="n">
        <v>150</v>
      </c>
      <c r="T23" s="13" t="inlineStr">
        <is>
          <t>Standaard 0.</t>
        </is>
      </c>
      <c r="U23" s="28" t="inlineStr">
        <is>
          <t>ZEKER — tado° NL-shop</t>
        </is>
      </c>
    </row>
    <row r="24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7" t="n"/>
      <c r="J24" s="13" t="n"/>
      <c r="K24" s="15" t="n"/>
      <c r="L24" s="15" t="n"/>
      <c r="M24" s="13" t="n"/>
      <c r="N24" s="15" t="n"/>
      <c r="O24" s="13" t="n"/>
      <c r="P24" s="13" t="n"/>
      <c r="Q24" s="13" t="n"/>
      <c r="R24" s="13" t="n"/>
      <c r="S24" s="15" t="n"/>
      <c r="T24" s="13" t="n"/>
      <c r="U24" s="28" t="n"/>
    </row>
  </sheetData>
  <autoFilter ref="A5:T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8" customWidth="1" min="3" max="3"/>
    <col width="48" customWidth="1" min="4" max="4"/>
    <col width="12" customWidth="1" min="5" max="5"/>
    <col width="16" customWidth="1" min="6" max="6"/>
    <col width="12" customWidth="1" min="7" max="7"/>
  </cols>
  <sheetData>
    <row r="1">
      <c r="A1" s="1" t="inlineStr">
        <is>
          <t>All-in check — kwalitatief beste BOM</t>
        </is>
      </c>
    </row>
    <row r="2">
      <c r="A2" t="inlineStr">
        <is>
          <t>30 m² · 4 groepen · 3 ruimten · dekvloer ≥50 mm. Hardheid &gt; laagste opbouw.</t>
        </is>
      </c>
    </row>
    <row r="3">
      <c r="A3" s="21" t="inlineStr">
        <is>
          <t>Verdict: BOM omgezet SlimFit/egaline → noppen 28 mm + PE-RT 16 + zandcement.</t>
        </is>
      </c>
    </row>
    <row r="5">
      <c r="A5" s="22" t="inlineStr">
        <is>
          <t>#</t>
        </is>
      </c>
      <c r="B5" s="22" t="inlineStr">
        <is>
          <t>Artikel</t>
        </is>
      </c>
      <c r="C5" s="22" t="inlineStr">
        <is>
          <t>Gekozen</t>
        </is>
      </c>
      <c r="D5" s="22" t="inlineStr">
        <is>
          <t>Alternatief</t>
        </is>
      </c>
      <c r="E5" s="22" t="inlineStr">
        <is>
          <t>Δ</t>
        </is>
      </c>
      <c r="F5" s="22" t="inlineStr">
        <is>
          <t>NL?</t>
        </is>
      </c>
      <c r="G5" s="22" t="inlineStr">
        <is>
          <t>Verdict</t>
        </is>
      </c>
    </row>
    <row r="6">
      <c r="A6" s="13" t="n">
        <v>1</v>
      </c>
      <c r="B6" s="13" t="inlineStr">
        <is>
          <t>Noppen 28 mm 3×</t>
        </is>
      </c>
      <c r="C6" s="13" t="inlineStr">
        <is>
          <t>Elektramat 3×€136,58</t>
        </is>
      </c>
      <c r="D6" s="13" t="inlineStr">
        <is>
          <t>17 mm goedkoper, minder isolatie</t>
        </is>
      </c>
      <c r="E6" s="13" t="inlineStr">
        <is>
          <t>kwaliteit</t>
        </is>
      </c>
      <c r="F6" s="13" t="inlineStr">
        <is>
          <t>Ja</t>
        </is>
      </c>
      <c r="G6" s="23" t="inlineStr">
        <is>
          <t>BEHOUDEN</t>
        </is>
      </c>
    </row>
    <row r="7">
      <c r="A7" s="13" t="n">
        <v>2</v>
      </c>
      <c r="B7" s="13" t="inlineStr">
        <is>
          <t>PE-RT 240 m</t>
        </is>
      </c>
      <c r="C7" s="13" t="inlineStr">
        <is>
          <t>Elektramat €158,99</t>
        </is>
      </c>
      <c r="D7" s="13" t="inlineStr">
        <is>
          <t>losse rollen ≥</t>
        </is>
      </c>
      <c r="E7" s="13" t="inlineStr">
        <is>
          <t>beste</t>
        </is>
      </c>
      <c r="F7" s="13" t="inlineStr">
        <is>
          <t>Ja</t>
        </is>
      </c>
      <c r="G7" s="23" t="inlineStr">
        <is>
          <t>BEHOUDEN</t>
        </is>
      </c>
    </row>
    <row r="8">
      <c r="A8" s="13" t="n">
        <v>3</v>
      </c>
      <c r="B8" s="13" t="inlineStr">
        <is>
          <t>Zandcement</t>
        </is>
      </c>
      <c r="C8" s="13" t="inlineStr">
        <is>
          <t>€35/m² indicatief</t>
        </is>
      </c>
      <c r="D8" s="13" t="inlineStr">
        <is>
          <t>€25–55 lokaal</t>
        </is>
      </c>
      <c r="E8" s="13" t="inlineStr">
        <is>
          <t>offerte</t>
        </is>
      </c>
      <c r="F8" s="13" t="inlineStr">
        <is>
          <t>Ja lokaal</t>
        </is>
      </c>
      <c r="G8" s="23" t="inlineStr">
        <is>
          <t>OFFERTE</t>
        </is>
      </c>
    </row>
    <row r="9">
      <c r="A9" s="13" t="n">
        <v>4</v>
      </c>
      <c r="B9" s="13" t="inlineStr">
        <is>
          <t>VTE + Grundfos</t>
        </is>
      </c>
      <c r="C9" s="13" t="inlineStr">
        <is>
          <t>€387,18</t>
        </is>
      </c>
      <c r="D9" s="13" t="inlineStr">
        <is>
          <t>duurdere shops</t>
        </is>
      </c>
      <c r="E9" s="13" t="inlineStr">
        <is>
          <t>beste</t>
        </is>
      </c>
      <c r="F9" s="13" t="inlineStr">
        <is>
          <t>Ja</t>
        </is>
      </c>
      <c r="G9" s="23" t="inlineStr">
        <is>
          <t>BEHOUDEN</t>
        </is>
      </c>
    </row>
    <row r="10">
      <c r="A10" s="13" t="n">
        <v>5</v>
      </c>
      <c r="B10" s="13" t="inlineStr">
        <is>
          <t>Möhlenhoff ×4</t>
        </is>
      </c>
      <c r="C10" s="13" t="inlineStr">
        <is>
          <t>eibhandel ~€55 all-in</t>
        </is>
      </c>
      <c r="D10" s="13" t="inlineStr">
        <is>
          <t>NL duurder</t>
        </is>
      </c>
      <c r="E10" s="13" t="inlineStr">
        <is>
          <t>beste</t>
        </is>
      </c>
      <c r="F10" s="13" t="inlineStr">
        <is>
          <t>DE→NL</t>
        </is>
      </c>
      <c r="G10" s="23" t="inlineStr">
        <is>
          <t>BEHOUDEN</t>
        </is>
      </c>
    </row>
    <row r="11">
      <c r="A11" s="13" t="n"/>
      <c r="B11" s="13" t="n"/>
      <c r="C11" s="13" t="n"/>
      <c r="D11" s="13" t="n"/>
      <c r="E11" s="13" t="n"/>
      <c r="F11" s="13" t="n"/>
      <c r="G11" s="23" t="n"/>
    </row>
    <row r="12">
      <c r="A12" s="13" t="inlineStr">
        <is>
          <t>Live totalen</t>
        </is>
      </c>
      <c r="B12" s="13" t="n"/>
      <c r="C12" s="13" t="n"/>
      <c r="D12" s="13" t="n"/>
      <c r="E12" s="13" t="n"/>
      <c r="F12" s="13" t="n"/>
      <c r="G12" s="23" t="n"/>
    </row>
    <row r="13">
      <c r="A13" s="13" t="inlineStr">
        <is>
          <t>Basis artikelen</t>
        </is>
      </c>
      <c r="B13" s="13">
        <f>Overzicht!B10</f>
        <v/>
      </c>
      <c r="C13" s="13" t="n"/>
      <c r="D13" s="13" t="n"/>
      <c r="E13" s="13" t="n"/>
      <c r="F13" s="13" t="n"/>
      <c r="G13" s="23" t="n"/>
    </row>
    <row r="14">
      <c r="A14" t="inlineStr">
        <is>
          <t>Basis verzending</t>
        </is>
      </c>
      <c r="B14">
        <f>Overzicht!C10</f>
        <v/>
      </c>
    </row>
    <row r="15">
      <c r="A15" s="3" t="inlineStr">
        <is>
          <t>Basis all-in</t>
        </is>
      </c>
      <c r="B15">
        <f>Overzicht!D10</f>
        <v/>
      </c>
    </row>
    <row r="16">
      <c r="A16" t="inlineStr">
        <is>
          <t>All-in + Tado bedraad</t>
        </is>
      </c>
      <c r="B16">
        <f>Overzicht!D11</f>
        <v/>
      </c>
    </row>
    <row r="18">
      <c r="A18" t="inlineStr">
        <is>
          <t>Zandcement-regel is INDICATIEF. Echt totaal = webshop-BOM + vloerzetter-offerte.</t>
        </is>
      </c>
    </row>
    <row r="19">
      <c r="A19" t="inlineStr">
        <is>
          <t>Infrezen: vaak hardst als bestaande dekvloer geschikt is — apart laten beoordelen.</t>
        </is>
      </c>
    </row>
    <row r="21">
      <c r="A21" s="3" t="n"/>
    </row>
    <row r="26">
      <c r="A26" s="3" t="n"/>
    </row>
    <row r="27">
      <c r="B27" s="6" t="n"/>
    </row>
    <row r="28">
      <c r="B28" s="6" t="n"/>
    </row>
    <row r="29">
      <c r="B29" s="6" t="n"/>
    </row>
    <row r="30">
      <c r="B30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6" customWidth="1" min="3" max="3"/>
    <col width="14" customWidth="1" min="4" max="4"/>
    <col width="14" customWidth="1" min="5" max="5"/>
    <col width="12" customWidth="1" min="6" max="6"/>
    <col width="18" customWidth="1" min="7" max="7"/>
    <col width="50" customWidth="1" min="8" max="8"/>
  </cols>
  <sheetData>
    <row r="1">
      <c r="A1" s="1" t="inlineStr">
        <is>
          <t>Verzendkosten — all-in (kwalitatief beste BOM)</t>
        </is>
      </c>
    </row>
    <row r="2">
      <c r="A2" t="inlineStr">
        <is>
          <t>Alleen shops die écht naar NL leveren. Buitenland = verzending + levertijd meegenomen. Onder drempel → kosten; daarboven → €0.</t>
        </is>
      </c>
    </row>
    <row r="4">
      <c r="A4" s="4" t="inlineStr">
        <is>
          <t>Shop</t>
        </is>
      </c>
      <c r="B4" s="4" t="inlineStr">
        <is>
          <t>Land</t>
        </is>
      </c>
      <c r="C4" s="4" t="inlineStr">
        <is>
          <t>Subtotaal artikelen</t>
        </is>
      </c>
      <c r="D4" s="4" t="inlineStr">
        <is>
          <t>Drempel gratis</t>
        </is>
      </c>
      <c r="E4" s="4" t="inlineStr">
        <is>
          <t>Verzendkosten</t>
        </is>
      </c>
      <c r="F4" s="4" t="inlineStr">
        <is>
          <t>All-in shop</t>
        </is>
      </c>
      <c r="G4" s="4" t="inlineStr">
        <is>
          <t>Levertijd</t>
        </is>
      </c>
      <c r="H4" s="4" t="inlineStr">
        <is>
          <t>Opmerking</t>
        </is>
      </c>
    </row>
    <row r="5">
      <c r="A5" t="inlineStr">
        <is>
          <t>Elektramat</t>
        </is>
      </c>
      <c r="B5" t="inlineStr">
        <is>
          <t>NL</t>
        </is>
      </c>
      <c r="C5" s="5">
        <f>SUMIFS(Boodschappenlijst!$N$6:$N$23,Boodschappenlijst!$P$6:$P$23,A5,Boodschappenlijst!$C$6:$C$23,"altijd")</f>
        <v/>
      </c>
      <c r="D5" s="5" t="n">
        <v>150</v>
      </c>
      <c r="E5" s="5">
        <f>IF(C5&lt;=0,0,IF(C5/1.21&gt;=150,0,4.95))</f>
        <v/>
      </c>
      <c r="F5" s="5">
        <f>C5+E5</f>
        <v/>
      </c>
      <c r="G5" t="inlineStr">
        <is>
          <t>1 werkdag</t>
        </is>
      </c>
      <c r="H5" t="inlineStr">
        <is>
          <t>Noppen+buis+euro+bocht. Noppen=lengtevracht; check pallet/afhaal bij Elektramat.</t>
        </is>
      </c>
    </row>
    <row r="6">
      <c r="A6" t="inlineStr">
        <is>
          <t>Overkamp Meddo</t>
        </is>
      </c>
      <c r="B6" t="inlineStr">
        <is>
          <t>NL</t>
        </is>
      </c>
      <c r="C6" s="5">
        <f>SUMIFS(Boodschappenlijst!$N$6:$N$23,Boodschappenlijst!$P$6:$P$23,A6,Boodschappenlijst!$C$6:$C$23,"altijd")</f>
        <v/>
      </c>
      <c r="D6" s="5" t="n">
        <v>50</v>
      </c>
      <c r="E6" s="5">
        <f>IF(C6&lt;=0,0,IF(C6&gt;=50,0,6.95))</f>
        <v/>
      </c>
      <c r="F6" s="5">
        <f>C6+E6</f>
        <v/>
      </c>
      <c r="G6" t="inlineStr">
        <is>
          <t>≤1 week</t>
        </is>
      </c>
      <c r="H6" t="inlineStr">
        <is>
          <t>Krimpnetten</t>
        </is>
      </c>
    </row>
    <row r="7">
      <c r="A7" t="inlineStr">
        <is>
          <t>123Installatieshop</t>
        </is>
      </c>
      <c r="B7" t="inlineStr">
        <is>
          <t>NL</t>
        </is>
      </c>
      <c r="C7" s="5">
        <f>SUMIFS(Boodschappenlijst!$N$6:$N$23,Boodschappenlijst!$P$6:$P$23,A7,Boodschappenlijst!$C$6:$C$23,"altijd")+SUMIFS(Boodschappenlijst!$N$6:$N$23,Boodschappenlijst!$P$6:$P$23,"123Installatieshop / bouwmarkt NL",Boodschappenlijst!$C$6:$C$23,"altijd")</f>
        <v/>
      </c>
      <c r="D7" s="5" t="n">
        <v>150</v>
      </c>
      <c r="E7" s="5">
        <f>IF(C7&lt;=0,0,IF(C7&gt;=150,0,6.95))</f>
        <v/>
      </c>
      <c r="F7" s="5">
        <f>C7+E7</f>
        <v/>
      </c>
      <c r="G7" t="inlineStr">
        <is>
          <t>≤1 week</t>
        </is>
      </c>
      <c r="H7" t="inlineStr">
        <is>
          <t>Verdeler+afsluiters (+ evt. ML-buis)</t>
        </is>
      </c>
    </row>
    <row r="8">
      <c r="A8" t="inlineStr">
        <is>
          <t>Lokale vloerzetter NL</t>
        </is>
      </c>
      <c r="B8" t="inlineStr">
        <is>
          <t>NL</t>
        </is>
      </c>
      <c r="C8" s="5">
        <f>SUMIFS(Boodschappenlijst!$N$6:$N$23,Boodschappenlijst!$P$6:$P$23,A8,Boodschappenlijst!$C$6:$C$23,"altijd")</f>
        <v/>
      </c>
      <c r="D8" s="5" t="n">
        <v>0</v>
      </c>
      <c r="E8" s="5" t="n">
        <v>0</v>
      </c>
      <c r="F8" s="5">
        <f>C8+E8</f>
        <v/>
      </c>
      <c r="G8" t="inlineStr">
        <is>
          <t>lokaal</t>
        </is>
      </c>
      <c r="H8" t="inlineStr">
        <is>
          <t>Zandcement: prijs is all-in indicatie</t>
        </is>
      </c>
    </row>
    <row r="9">
      <c r="A9">
        <f>IF(ISNUMBER(SEARCH("NL zeker",Parameters!$B$8)),"VerwarmingOnline","eibhandel.de")</f>
        <v/>
      </c>
      <c r="B9">
        <f>IF(ISNUMBER(SEARCH("NL zeker",Parameters!$B$8)),"NL","DE→NL")</f>
        <v/>
      </c>
      <c r="C9" s="5">
        <f>Boodschappenlijst!N16</f>
        <v/>
      </c>
      <c r="D9" s="5">
        <f>IF(ISNUMBER(SEARCH("NL zeker",Parameters!$B$8)),385,1000)</f>
        <v/>
      </c>
      <c r="E9" s="5">
        <f>IF(C9&lt;=0,0,IF(ISNUMBER(SEARCH("NL zeker",Parameters!$B$8)),IF(C9&gt;=385,0,6.95),IF(C9&gt;=1000,0,15.41)))</f>
        <v/>
      </c>
      <c r="F9" s="5">
        <f>C9+E9</f>
        <v/>
      </c>
      <c r="G9">
        <f>IF(ISNUMBER(SEARCH("NL zeker",Parameters!$B$8)),"NL 3–4 wd","DE→NL 2–5+ wd")</f>
        <v/>
      </c>
      <c r="H9" t="inlineStr">
        <is>
          <t>Actuators; volgt Parameters!B8</t>
        </is>
      </c>
    </row>
    <row r="10">
      <c r="A10" t="inlineStr">
        <is>
          <t>Warp Systems</t>
        </is>
      </c>
      <c r="B10" t="inlineStr">
        <is>
          <t>NL</t>
        </is>
      </c>
      <c r="C10" s="5">
        <f>SUMIFS(Boodschappenlijst!$N$6:$N$23,Boodschappenlijst!$P$6:$P$23,A10,Boodschappenlijst!$C$6:$C$23,"h64")</f>
        <v/>
      </c>
      <c r="D10" s="5" t="n">
        <v>0</v>
      </c>
      <c r="E10" s="5" t="n">
        <v>0</v>
      </c>
      <c r="F10" s="5">
        <f>C10+E10</f>
        <v/>
      </c>
      <c r="G10" t="inlineStr">
        <is>
          <t>1 werkdag</t>
        </is>
      </c>
      <c r="H10" t="inlineStr">
        <is>
          <t>Alleen bij H64</t>
        </is>
      </c>
    </row>
    <row r="11">
      <c r="A11" t="inlineStr">
        <is>
          <t>tado° Shop</t>
        </is>
      </c>
      <c r="B11" t="inlineStr">
        <is>
          <t>NL</t>
        </is>
      </c>
      <c r="C11" s="5">
        <f>SUMIFS(Boodschappenlijst!$N$6:$N$23,Boodschappenlijst!$P$6:$P$23,A11,Boodschappenlijst!$C$6:$C$23,"tado_bedraad")+SUMIFS(Boodschappenlijst!$N$6:$N$23,Boodschappenlijst!$P$6:$P$23,A11,Boodschappenlijst!$C$6:$C$23,"tado_draadloos")</f>
        <v/>
      </c>
      <c r="D11" s="5" t="n">
        <v>150</v>
      </c>
      <c r="E11" s="5">
        <f>IF(C11&lt;=0,0,IF(C11&gt;=150,0,4.99))</f>
        <v/>
      </c>
      <c r="F11" s="5">
        <f>C11+E11</f>
        <v/>
      </c>
      <c r="G11" t="inlineStr">
        <is>
          <t>2–4 wd</t>
        </is>
      </c>
      <c r="H11" t="inlineStr">
        <is>
          <t>Alleen bij Tado</t>
        </is>
      </c>
    </row>
    <row r="12">
      <c r="A12" t="inlineStr">
        <is>
          <t>Installand</t>
        </is>
      </c>
      <c r="B12" t="inlineStr">
        <is>
          <t>NL</t>
        </is>
      </c>
      <c r="C12" s="5">
        <f>SUMIFS(Boodschappenlijst!$N$6:$N$23,Boodschappenlijst!$P$6:$P$23,A12,Boodschappenlijst!$C$6:$C$23,"altijd")</f>
        <v/>
      </c>
      <c r="D12" s="5" t="n">
        <v>60</v>
      </c>
      <c r="E12" s="5">
        <f>IF(C12&lt;=0,0,IF(C12&gt;=60,0,6.95))</f>
        <v/>
      </c>
      <c r="F12" s="5">
        <f>C12+E12</f>
        <v/>
      </c>
      <c r="G12" t="inlineStr">
        <is>
          <t>≤1 week</t>
        </is>
      </c>
      <c r="H12" t="inlineStr">
        <is>
          <t>Climasol</t>
        </is>
      </c>
    </row>
    <row r="14">
      <c r="A14" t="inlineStr">
        <is>
          <t>Totaal verzending BASIS (altijd-shops, excl. regeling)</t>
        </is>
      </c>
      <c r="B14" s="5">
        <f>E5+E6+E7+E8+E9+E12</f>
        <v/>
      </c>
    </row>
    <row r="15">
      <c r="A15" t="inlineStr">
        <is>
          <t>Totaal verzending + Tado bedraad</t>
        </is>
      </c>
      <c r="B15" s="5">
        <f>B14+E11</f>
        <v/>
      </c>
    </row>
    <row r="16">
      <c r="A16" t="inlineStr">
        <is>
          <t>Totaal verzending + H64</t>
        </is>
      </c>
      <c r="B16" s="5">
        <f>B14+E10</f>
        <v/>
      </c>
    </row>
    <row r="18">
      <c r="A18" s="3" t="inlineStr">
        <is>
          <t>Actuators — all-in &amp; NL-zekerheid (live t.o.v. Parameters!B8)</t>
        </is>
      </c>
    </row>
    <row r="19">
      <c r="A19" s="4" t="inlineStr">
        <is>
          <t>Optie</t>
        </is>
      </c>
      <c r="B19" s="4" t="inlineStr">
        <is>
          <t>Stuksprijs</t>
        </is>
      </c>
      <c r="C19" s="4" t="inlineStr">
        <is>
          <t>× groepen</t>
        </is>
      </c>
      <c r="D19" s="4" t="inlineStr">
        <is>
          <t>Verzending</t>
        </is>
      </c>
      <c r="E19" s="4" t="inlineStr">
        <is>
          <t>All-in</t>
        </is>
      </c>
      <c r="F19" s="4" t="inlineStr">
        <is>
          <t>NL-zeker?</t>
        </is>
      </c>
    </row>
    <row r="20">
      <c r="A20" t="inlineStr">
        <is>
          <t>eibhandel.de (gekozen)</t>
        </is>
      </c>
      <c r="B20" s="5" t="n">
        <v>9.99</v>
      </c>
      <c r="C20" s="5">
        <f>B20*Parameters!$B$5</f>
        <v/>
      </c>
      <c r="D20" s="5" t="n">
        <v>15.41</v>
      </c>
      <c r="E20" s="5">
        <f>C20+D20</f>
        <v/>
      </c>
      <c r="F20" t="inlineStr">
        <is>
          <t>Ja — DHL zone 1 NL, kosten expliciet</t>
        </is>
      </c>
    </row>
    <row r="21">
      <c r="A21" t="inlineStr">
        <is>
          <t>Amazon.nl (indicatief)</t>
        </is>
      </c>
      <c r="B21" s="5" t="n">
        <v>13.16</v>
      </c>
      <c r="C21" s="5">
        <f>B21*Parameters!$B$5</f>
        <v/>
      </c>
      <c r="D21" s="5" t="n">
        <v>0</v>
      </c>
      <c r="E21" s="5">
        <f>C21+D21</f>
        <v/>
      </c>
      <c r="F21" t="inlineStr">
        <is>
          <t>Ja — Prime NL; check actuele listing/voorraad</t>
        </is>
      </c>
    </row>
    <row r="22">
      <c r="A22" t="inlineStr">
        <is>
          <t>Home Perfect NL/DE</t>
        </is>
      </c>
      <c r="B22" s="5" t="n">
        <v>10.01</v>
      </c>
      <c r="C22" s="5">
        <f>B22*Parameters!$B$5</f>
        <v/>
      </c>
      <c r="D22" s="5" t="n">
        <v>29.9</v>
      </c>
      <c r="E22" s="5">
        <f>C22+D22</f>
        <v/>
      </c>
      <c r="F22" t="inlineStr">
        <is>
          <t>Nee/matig — €29,90 ship + 7–10 wd</t>
        </is>
      </c>
    </row>
    <row r="23">
      <c r="A23" t="inlineStr">
        <is>
          <t>VerwarmingOnline NL</t>
        </is>
      </c>
      <c r="B23" s="5" t="n">
        <v>20.12</v>
      </c>
      <c r="C23" s="5">
        <f>B23*Parameters!$B$5</f>
        <v/>
      </c>
      <c r="D23" s="5">
        <f>IF(C23&gt;=385,0,6.95)</f>
        <v/>
      </c>
      <c r="E23" s="5">
        <f>C23+D23</f>
        <v/>
      </c>
      <c r="F23" t="inlineStr">
        <is>
          <t>Ja — NL, maar duurder all-in</t>
        </is>
      </c>
    </row>
    <row r="24">
      <c r="A24" s="24" t="inlineStr">
        <is>
          <t>VERDICT actuators: eibhandel.de blijft goedkoopst all-in (~€55 bij 4 st). Amazon soms dichterbij. Home Perfect/VerwarmingOnline duurder.</t>
        </is>
      </c>
    </row>
    <row r="25">
      <c r="A25" s="20">
        <f>IF(ISNUMBER(SEARCH("NL zeker",Parameters!$B$8)),"Gekozen: NL zeker (VerwarmingOnline) — 100% NL-webshop.","Gekozen: DE→NL (eibhandel) — goedkoopst all-in, NL-levering via DHL met verzending+levertijd.")</f>
        <v/>
      </c>
    </row>
    <row r="26">
      <c r="A26" t="inlineStr">
        <is>
          <t>Noppen sets</t>
        </is>
      </c>
      <c r="B26">
        <f>Parameters!B11</f>
        <v/>
      </c>
    </row>
    <row r="27">
      <c r="A27" t="inlineStr">
        <is>
          <t>Artikelkosten noppen</t>
        </is>
      </c>
      <c r="B27" s="5">
        <f>B26*136.58</f>
        <v/>
      </c>
    </row>
    <row r="28">
      <c r="A28" t="inlineStr">
        <is>
          <t>Excl. btw (≈ /1,21)</t>
        </is>
      </c>
      <c r="B28" s="5">
        <f>B27/1.21</f>
        <v/>
      </c>
    </row>
    <row r="29">
      <c r="A29" t="inlineStr">
        <is>
          <t>Verzending Elektramat (formule)</t>
        </is>
      </c>
      <c r="B29" s="5">
        <f>E5</f>
        <v/>
      </c>
    </row>
    <row r="30">
      <c r="A30" t="inlineStr">
        <is>
          <t>Let op lengtevracht noppenplaten — check Elektramat bij bestelling</t>
        </is>
      </c>
      <c r="B30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</cols>
  <sheetData>
    <row r="1">
      <c r="A1" s="1" t="inlineStr">
        <is>
          <t>KOPJE: Vloerverwarming — regeling</t>
        </is>
      </c>
    </row>
    <row r="3">
      <c r="A3" t="inlineStr">
        <is>
          <t>Kies hier je regeling →</t>
        </is>
      </c>
      <c r="B3" s="18" t="inlineStr">
        <is>
          <t>Tado bedraad (3 ruimten)</t>
        </is>
      </c>
    </row>
    <row r="5">
      <c r="A5" t="inlineStr">
        <is>
          <t>Tip: bedraad = kwalitatief preferabel. Aantal thermostaten schaalt via Parameters!Ruimten.</t>
        </is>
      </c>
    </row>
    <row r="6">
      <c r="A6" t="inlineStr">
        <is>
          <t>Opties: "Tado bedraad (…)" / "Tado draadloos" / "Magnum H64" — koop niet H64 én Tado samen.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KWALITATIEF BESTE — harde vloer zonder golven (aug 2026)</t>
        </is>
      </c>
    </row>
    <row r="2">
      <c r="A2" t="inlineStr">
        <is>
          <t>Keuze: nat Magnum 16 mm + noppenplaat 28 mm + zandcement ≥50 mm. SlimFit/egaline bewust verlaten.</t>
        </is>
      </c>
    </row>
    <row r="4">
      <c r="A4" t="inlineStr">
        <is>
          <t>KOPJE: Vloerverwarming — systeemkeuze</t>
        </is>
      </c>
    </row>
    <row r="5">
      <c r="A5" t="inlineStr">
        <is>
          <t>Product</t>
        </is>
      </c>
      <c r="B5" t="inlineStr">
        <is>
          <t>Keuze</t>
        </is>
      </c>
      <c r="C5" t="inlineStr">
        <is>
          <t>Was</t>
        </is>
      </c>
      <c r="D5" t="inlineStr">
        <is>
          <t>Waarom</t>
        </is>
      </c>
    </row>
    <row r="6">
      <c r="A6" t="inlineStr">
        <is>
          <t>SYSTEEM (kern)</t>
        </is>
      </c>
    </row>
    <row r="7">
      <c r="A7" t="inlineStr">
        <is>
          <t>MAGNUM noppenplaat 28 mm (150 kPa)</t>
        </is>
      </c>
      <c r="B7" t="inlineStr">
        <is>
          <t>UPGRADE</t>
        </is>
      </c>
      <c r="C7" t="inlineStr">
        <is>
          <t>SlimFit 12 matten</t>
        </is>
      </c>
      <c r="D7" t="inlineStr">
        <is>
          <t>Stijvere basis + buis in noppen; daarna massieve zandcement.</t>
        </is>
      </c>
    </row>
    <row r="8">
      <c r="A8" t="inlineStr">
        <is>
          <t>MAGNUM PE-RT 16×2</t>
        </is>
      </c>
      <c r="B8" t="inlineStr">
        <is>
          <t>UPGRADE</t>
        </is>
      </c>
      <c r="C8" t="inlineStr">
        <is>
          <t>PE-RT 12×1,5 SlimFit</t>
        </is>
      </c>
      <c r="D8" t="inlineStr">
        <is>
          <t>Standaard natte-systeem diameter.</t>
        </is>
      </c>
    </row>
    <row r="9">
      <c r="A9" t="inlineStr">
        <is>
          <t>Zandcement ≥50 mm boven buis</t>
        </is>
      </c>
      <c r="B9" t="inlineStr">
        <is>
          <t>UPGRADE</t>
        </is>
      </c>
      <c r="C9" t="inlineStr">
        <is>
          <t>Kreisel 418 egaline ~18 mm</t>
        </is>
      </c>
      <c r="D9" t="inlineStr">
        <is>
          <t>Dít maakt de vloer hard. Magnum eist min. 5 cm.</t>
        </is>
      </c>
    </row>
    <row r="10">
      <c r="A10" t="inlineStr">
        <is>
          <t>Krimpnet 100×100</t>
        </is>
      </c>
      <c r="B10" t="inlineStr">
        <is>
          <t>UPGRADE</t>
        </is>
      </c>
      <c r="C10" t="inlineStr">
        <is>
          <t>(niet in SlimFit-BOM)</t>
        </is>
      </c>
      <c r="D10" t="inlineStr">
        <is>
          <t>Scheurbeheersing in cementdekvloer.</t>
        </is>
      </c>
    </row>
    <row r="11">
      <c r="A11" t="inlineStr">
        <is>
          <t>NMC Climasol / VTE Composiet / Möhlenhoff / Tado bedraad</t>
        </is>
      </c>
      <c r="B11" t="inlineStr">
        <is>
          <t>behouden</t>
        </is>
      </c>
      <c r="C11" t="inlineStr">
        <is>
          <t>—</t>
        </is>
      </c>
      <c r="D11" t="inlineStr">
        <is>
          <t>Al kwaliteitskeuzes.</t>
        </is>
      </c>
    </row>
    <row r="13">
      <c r="A13" t="inlineStr">
        <is>
          <t>Bewust niet gekozen</t>
        </is>
      </c>
    </row>
    <row r="14">
      <c r="A14" t="inlineStr">
        <is>
          <t>• SlimFit + egaline: laagste opbouw, meer kans op “golven”.</t>
        </is>
      </c>
    </row>
    <row r="15">
      <c r="A15" t="inlineStr">
        <is>
          <t>• Noppenplaat 47 mm akoestisch: lagere max. belasting → zachter.</t>
        </is>
      </c>
    </row>
    <row r="16">
      <c r="A16" t="inlineStr">
        <is>
          <t>• Droogbouw/Heatboard: niet dezelfde massieve cementvloer-hardheid.</t>
        </is>
      </c>
    </row>
    <row r="18">
      <c r="A18" t="inlineStr">
        <is>
          <t>Absoluut hardst (als bestaande dekvloer geschikt is)</t>
        </is>
      </c>
    </row>
    <row r="19">
      <c r="A19" t="inlineStr">
        <is>
          <t>INFREZEN in bestaande zandcement/anhydriet — laat beoordelen door freesbedrijf.</t>
        </is>
      </c>
    </row>
    <row r="21">
      <c r="A21" t="inlineStr">
        <is>
          <t>Opbouw (indicatief): noppen 28 + buis 16 + ≥50 mm cement ≈ 70–90 mm. Check deurdorpels.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Prijszoek – duurste items kwalitatief-beste BOM (aug 2026)</t>
        </is>
      </c>
    </row>
    <row r="2">
      <c r="A2" t="inlineStr">
        <is>
          <t>Focus: noppen/buis/verdeler/dekvloer.</t>
        </is>
      </c>
    </row>
    <row r="4">
      <c r="A4" t="inlineStr">
        <is>
          <t>#</t>
        </is>
      </c>
      <c r="B4" t="inlineStr">
        <is>
          <t>Item</t>
        </is>
      </c>
      <c r="C4" t="inlineStr">
        <is>
          <t>Gekozen</t>
        </is>
      </c>
      <c r="D4" t="inlineStr">
        <is>
          <t>Alternatief</t>
        </is>
      </c>
      <c r="E4" t="inlineStr">
        <is>
          <t>Actie</t>
        </is>
      </c>
      <c r="F4" t="inlineStr">
        <is>
          <t>Δ</t>
        </is>
      </c>
    </row>
    <row r="5">
      <c r="A5" t="n">
        <v>1</v>
      </c>
      <c r="B5" t="inlineStr">
        <is>
          <t>Noppenplaat 28 mm 3×10 m²</t>
        </is>
      </c>
      <c r="C5" t="inlineStr">
        <is>
          <t>Elektramat €136,58/set</t>
        </is>
      </c>
      <c r="D5" t="inlineStr">
        <is>
          <t>17 mm ongeïsoleerd €102,55 (alleen als al geïsoleerd)</t>
        </is>
      </c>
      <c r="E5" t="inlineStr">
        <is>
          <t>BEHOUDEN 28 mm</t>
        </is>
      </c>
      <c r="F5" t="inlineStr">
        <is>
          <t>kwaliteit</t>
        </is>
      </c>
    </row>
    <row r="6">
      <c r="A6" t="n">
        <v>2</v>
      </c>
      <c r="B6" t="inlineStr">
        <is>
          <t>PE-RT 16×2 240 m</t>
        </is>
      </c>
      <c r="C6" t="inlineStr">
        <is>
          <t>Elektramat €158,99</t>
        </is>
      </c>
      <c r="D6" t="inlineStr">
        <is>
          <t>2×120 m ≈ gelijk</t>
        </is>
      </c>
      <c r="E6" t="inlineStr">
        <is>
          <t>BEHOUDEN</t>
        </is>
      </c>
      <c r="F6" t="inlineStr">
        <is>
          <t>€0</t>
        </is>
      </c>
    </row>
    <row r="7">
      <c r="A7" t="n">
        <v>3</v>
      </c>
      <c r="B7" t="inlineStr">
        <is>
          <t>Zandcement 30 m²</t>
        </is>
      </c>
      <c r="C7" t="inlineStr">
        <is>
          <t>Indicatie €35/m² = €1.050</t>
        </is>
      </c>
      <c r="D7" t="inlineStr">
        <is>
          <t>Lokaal €25–55/m²</t>
        </is>
      </c>
      <c r="E7" t="inlineStr">
        <is>
          <t>OFFERTE</t>
        </is>
      </c>
      <c r="F7" t="inlineStr">
        <is>
          <t>variabel</t>
        </is>
      </c>
    </row>
    <row r="8">
      <c r="A8" t="n">
        <v>4</v>
      </c>
      <c r="B8" t="inlineStr">
        <is>
          <t>VTE Composiet 4-gr.</t>
        </is>
      </c>
      <c r="C8" t="inlineStr">
        <is>
          <t>123shop €387,18</t>
        </is>
      </c>
      <c r="D8" t="inlineStr">
        <is>
          <t>andere shops hoger</t>
        </is>
      </c>
      <c r="E8" t="inlineStr">
        <is>
          <t>BEHOUDEN</t>
        </is>
      </c>
      <c r="F8" t="inlineStr">
        <is>
          <t>€0</t>
        </is>
      </c>
    </row>
    <row r="9">
      <c r="A9" t="n">
        <v>5</v>
      </c>
      <c r="B9" t="inlineStr">
        <is>
          <t>Möhlenhoff ×4</t>
        </is>
      </c>
      <c r="C9" t="inlineStr">
        <is>
          <t>eibhandel + ship ~€55</t>
        </is>
      </c>
      <c r="D9" t="inlineStr">
        <is>
          <t>VerwarmingOnline duurder</t>
        </is>
      </c>
      <c r="E9" t="inlineStr">
        <is>
          <t>BEHOUDEN</t>
        </is>
      </c>
      <c r="F9" t="inlineStr">
        <is>
          <t>beste</t>
        </is>
      </c>
    </row>
    <row r="11">
      <c r="A11" t="inlineStr">
        <is>
          <t>• SlimFit-pad bewust verlaten. Infrezen: apart offerte freesbedrijf.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KOPJE: Vloerverwarming — Tado</t>
        </is>
      </c>
    </row>
    <row r="2">
      <c r="A2">
        <f>Parameters!B6&amp;" ruimten · "&amp;Parameters!B5&amp;" groepen · "&amp;Parameters!B4&amp;" m²"</f>
        <v/>
      </c>
    </row>
    <row r="4">
      <c r="A4" t="inlineStr">
        <is>
          <t>Ruimte</t>
        </is>
      </c>
      <c r="B4" t="inlineStr">
        <is>
          <t>Groepen</t>
        </is>
      </c>
      <c r="C4" t="inlineStr">
        <is>
          <t>Tado</t>
        </is>
      </c>
      <c r="D4" t="inlineStr">
        <is>
          <t>Actuators</t>
        </is>
      </c>
    </row>
    <row r="5">
      <c r="A5" t="inlineStr">
        <is>
          <t>Ruimte 1 (groot)</t>
        </is>
      </c>
      <c r="B5" t="inlineStr">
        <is>
          <t>meerdere mogelijk</t>
        </is>
      </c>
      <c r="C5" t="inlineStr">
        <is>
          <t>Bedraad X (+ Bridge in starter)</t>
        </is>
      </c>
      <c r="D5" t="inlineStr">
        <is>
          <t>parallel op 1 thermostaat</t>
        </is>
      </c>
    </row>
    <row r="6">
      <c r="A6" t="inlineStr">
        <is>
          <t>Ruimte 2…N</t>
        </is>
      </c>
      <c r="B6" t="inlineStr">
        <is>
          <t>1 per ruimte typisch</t>
        </is>
      </c>
      <c r="C6" t="inlineStr">
        <is>
          <t>Bedraad X uitbreiding</t>
        </is>
      </c>
      <c r="D6" t="inlineStr">
        <is>
          <t>1 actuator / groep</t>
        </is>
      </c>
    </row>
    <row r="8">
      <c r="A8" t="inlineStr">
        <is>
          <t>Exacte groepsverdeling is situatiespecifiek; totalen schalen via Parameters.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5" customWidth="1" min="1" max="1"/>
    <col width="24" customWidth="1" min="3" max="3"/>
  </cols>
  <sheetData>
    <row r="1">
      <c r="A1" t="inlineStr">
        <is>
          <t>KOPJE: Vloerverwarming — checklist (hoeveelheden = live uit Boodschappenlijst)</t>
        </is>
      </c>
    </row>
    <row r="3">
      <c r="A3" s="4" t="inlineStr">
        <is>
          <t>Artikel</t>
        </is>
      </c>
      <c r="B3" s="4" t="inlineStr">
        <is>
          <t>Qty</t>
        </is>
      </c>
      <c r="C3" s="4" t="inlineStr">
        <is>
          <t>Webshop</t>
        </is>
      </c>
      <c r="D3" s="4" t="inlineStr">
        <is>
          <t>Prijs/st</t>
        </is>
      </c>
      <c r="E3" s="4" t="inlineStr">
        <is>
          <t>Totaal</t>
        </is>
      </c>
      <c r="F3" s="4" t="inlineStr">
        <is>
          <t>Besteld?</t>
        </is>
      </c>
      <c r="G3" s="4" t="inlineStr">
        <is>
          <t>Ordernr</t>
        </is>
      </c>
    </row>
    <row r="4">
      <c r="A4">
        <f>Boodschappenlijst!E6</f>
        <v/>
      </c>
      <c r="B4">
        <f>Boodschappenlijst!I6</f>
        <v/>
      </c>
      <c r="C4">
        <f>Boodschappenlijst!P6</f>
        <v/>
      </c>
      <c r="D4" s="5">
        <f>Boodschappenlijst!K6</f>
        <v/>
      </c>
      <c r="E4" s="5">
        <f>Boodschappenlijst!N6</f>
        <v/>
      </c>
      <c r="F4" t="inlineStr">
        <is>
          <t>Nee</t>
        </is>
      </c>
    </row>
    <row r="5">
      <c r="A5">
        <f>Boodschappenlijst!E7</f>
        <v/>
      </c>
      <c r="B5">
        <f>Boodschappenlijst!I7</f>
        <v/>
      </c>
      <c r="C5">
        <f>Boodschappenlijst!P7</f>
        <v/>
      </c>
      <c r="D5" s="5">
        <f>Boodschappenlijst!K7</f>
        <v/>
      </c>
      <c r="E5" s="5">
        <f>Boodschappenlijst!N7</f>
        <v/>
      </c>
      <c r="F5" t="inlineStr">
        <is>
          <t>Nee</t>
        </is>
      </c>
    </row>
    <row r="6">
      <c r="A6">
        <f>Boodschappenlijst!E8</f>
        <v/>
      </c>
      <c r="B6">
        <f>Boodschappenlijst!I8</f>
        <v/>
      </c>
      <c r="C6">
        <f>Boodschappenlijst!P8</f>
        <v/>
      </c>
      <c r="D6" s="5">
        <f>Boodschappenlijst!K8</f>
        <v/>
      </c>
      <c r="E6" s="5">
        <f>Boodschappenlijst!N8</f>
        <v/>
      </c>
      <c r="F6" t="inlineStr">
        <is>
          <t>Nee</t>
        </is>
      </c>
    </row>
    <row r="7">
      <c r="A7">
        <f>Boodschappenlijst!E9</f>
        <v/>
      </c>
      <c r="B7">
        <f>Boodschappenlijst!I9</f>
        <v/>
      </c>
      <c r="C7">
        <f>Boodschappenlijst!P9</f>
        <v/>
      </c>
      <c r="D7" s="5">
        <f>Boodschappenlijst!K9</f>
        <v/>
      </c>
      <c r="E7" s="5">
        <f>Boodschappenlijst!N9</f>
        <v/>
      </c>
      <c r="F7" t="inlineStr">
        <is>
          <t>Nee</t>
        </is>
      </c>
    </row>
    <row r="8">
      <c r="A8">
        <f>Boodschappenlijst!E10</f>
        <v/>
      </c>
      <c r="B8">
        <f>Boodschappenlijst!I10</f>
        <v/>
      </c>
      <c r="C8">
        <f>Boodschappenlijst!P10</f>
        <v/>
      </c>
      <c r="D8" s="5">
        <f>Boodschappenlijst!K10</f>
        <v/>
      </c>
      <c r="E8" s="5">
        <f>Boodschappenlijst!N10</f>
        <v/>
      </c>
      <c r="F8" t="inlineStr">
        <is>
          <t>Nee</t>
        </is>
      </c>
    </row>
    <row r="9">
      <c r="A9">
        <f>Boodschappenlijst!E11</f>
        <v/>
      </c>
      <c r="B9">
        <f>Boodschappenlijst!I11</f>
        <v/>
      </c>
      <c r="C9">
        <f>Boodschappenlijst!P11</f>
        <v/>
      </c>
      <c r="D9" s="5">
        <f>Boodschappenlijst!K11</f>
        <v/>
      </c>
      <c r="E9" s="5">
        <f>Boodschappenlijst!N11</f>
        <v/>
      </c>
      <c r="F9" t="inlineStr">
        <is>
          <t>Nee</t>
        </is>
      </c>
    </row>
    <row r="10">
      <c r="A10">
        <f>Boodschappenlijst!E12</f>
        <v/>
      </c>
      <c r="B10">
        <f>Boodschappenlijst!I12</f>
        <v/>
      </c>
      <c r="C10">
        <f>Boodschappenlijst!P12</f>
        <v/>
      </c>
      <c r="D10" s="5">
        <f>Boodschappenlijst!K12</f>
        <v/>
      </c>
      <c r="E10" s="5">
        <f>Boodschappenlijst!N12</f>
        <v/>
      </c>
      <c r="F10" t="inlineStr">
        <is>
          <t>Nee</t>
        </is>
      </c>
    </row>
    <row r="11">
      <c r="A11">
        <f>Boodschappenlijst!E13</f>
        <v/>
      </c>
      <c r="B11">
        <f>Boodschappenlijst!I13</f>
        <v/>
      </c>
      <c r="C11">
        <f>Boodschappenlijst!P13</f>
        <v/>
      </c>
      <c r="D11" s="5">
        <f>Boodschappenlijst!K13</f>
        <v/>
      </c>
      <c r="E11" s="5">
        <f>Boodschappenlijst!N13</f>
        <v/>
      </c>
      <c r="F11" t="inlineStr">
        <is>
          <t>Nee</t>
        </is>
      </c>
    </row>
    <row r="12">
      <c r="A12">
        <f>Boodschappenlijst!E14</f>
        <v/>
      </c>
      <c r="B12">
        <f>Boodschappenlijst!I14</f>
        <v/>
      </c>
      <c r="C12">
        <f>Boodschappenlijst!P14</f>
        <v/>
      </c>
      <c r="D12" s="5">
        <f>Boodschappenlijst!K14</f>
        <v/>
      </c>
      <c r="E12" s="5">
        <f>Boodschappenlijst!N14</f>
        <v/>
      </c>
      <c r="F12" t="inlineStr">
        <is>
          <t>Nee</t>
        </is>
      </c>
    </row>
    <row r="13">
      <c r="A13">
        <f>Boodschappenlijst!E15</f>
        <v/>
      </c>
      <c r="B13">
        <f>Boodschappenlijst!I15</f>
        <v/>
      </c>
      <c r="C13">
        <f>Boodschappenlijst!P15</f>
        <v/>
      </c>
      <c r="D13" s="5">
        <f>Boodschappenlijst!K15</f>
        <v/>
      </c>
      <c r="E13" s="5">
        <f>Boodschappenlijst!N15</f>
        <v/>
      </c>
      <c r="F13" t="inlineStr">
        <is>
          <t>Nee</t>
        </is>
      </c>
    </row>
    <row r="14">
      <c r="A14">
        <f>Boodschappenlijst!E16</f>
        <v/>
      </c>
      <c r="B14">
        <f>Boodschappenlijst!I16</f>
        <v/>
      </c>
      <c r="C14">
        <f>Boodschappenlijst!P16</f>
        <v/>
      </c>
      <c r="D14" s="5">
        <f>Boodschappenlijst!K16</f>
        <v/>
      </c>
      <c r="E14" s="5">
        <f>Boodschappenlijst!N16</f>
        <v/>
      </c>
      <c r="F14" t="inlineStr">
        <is>
          <t>Nee</t>
        </is>
      </c>
    </row>
    <row r="15">
      <c r="A15">
        <f>Boodschappenlijst!E17</f>
        <v/>
      </c>
      <c r="B15">
        <f>Boodschappenlijst!I17</f>
        <v/>
      </c>
      <c r="C15">
        <f>Boodschappenlijst!P17</f>
        <v/>
      </c>
      <c r="D15" s="5">
        <f>Boodschappenlijst!K17</f>
        <v/>
      </c>
      <c r="E15" s="5">
        <f>Boodschappenlijst!N17</f>
        <v/>
      </c>
      <c r="F15" t="inlineStr">
        <is>
          <t>Nee</t>
        </is>
      </c>
    </row>
    <row r="16">
      <c r="A16">
        <f>Boodschappenlijst!E18</f>
        <v/>
      </c>
      <c r="B16">
        <f>Boodschappenlijst!I18</f>
        <v/>
      </c>
      <c r="C16">
        <f>Boodschappenlijst!P18</f>
        <v/>
      </c>
      <c r="D16" s="5">
        <f>Boodschappenlijst!K18</f>
        <v/>
      </c>
      <c r="E16" s="5">
        <f>Boodschappenlijst!N18</f>
        <v/>
      </c>
      <c r="F16" t="inlineStr">
        <is>
          <t>Nee</t>
        </is>
      </c>
    </row>
    <row r="17">
      <c r="A17">
        <f>Boodschappenlijst!E19</f>
        <v/>
      </c>
      <c r="B17">
        <f>Boodschappenlijst!I19</f>
        <v/>
      </c>
      <c r="C17">
        <f>Boodschappenlijst!P19</f>
        <v/>
      </c>
      <c r="D17" s="5">
        <f>Boodschappenlijst!K19</f>
        <v/>
      </c>
      <c r="E17" s="5">
        <f>Boodschappenlijst!N19</f>
        <v/>
      </c>
      <c r="F17" t="inlineStr">
        <is>
          <t>Nee</t>
        </is>
      </c>
    </row>
    <row r="18">
      <c r="A18">
        <f>Boodschappenlijst!E20</f>
        <v/>
      </c>
      <c r="B18">
        <f>Boodschappenlijst!I20</f>
        <v/>
      </c>
      <c r="C18">
        <f>Boodschappenlijst!P20</f>
        <v/>
      </c>
      <c r="D18" s="5">
        <f>Boodschappenlijst!K20</f>
        <v/>
      </c>
      <c r="E18" s="5">
        <f>Boodschappenlijst!N20</f>
        <v/>
      </c>
      <c r="F18" t="inlineStr">
        <is>
          <t>Nee</t>
        </is>
      </c>
    </row>
    <row r="19">
      <c r="A19">
        <f>Boodschappenlijst!E21</f>
        <v/>
      </c>
      <c r="B19">
        <f>Boodschappenlijst!I21</f>
        <v/>
      </c>
      <c r="C19">
        <f>Boodschappenlijst!P21</f>
        <v/>
      </c>
      <c r="D19" s="5">
        <f>Boodschappenlijst!K21</f>
        <v/>
      </c>
      <c r="E19" s="5">
        <f>Boodschappenlijst!N21</f>
        <v/>
      </c>
      <c r="F19" t="inlineStr">
        <is>
          <t>Nee</t>
        </is>
      </c>
    </row>
    <row r="20">
      <c r="A20">
        <f>Boodschappenlijst!E22</f>
        <v/>
      </c>
      <c r="B20">
        <f>Boodschappenlijst!I22</f>
        <v/>
      </c>
      <c r="C20">
        <f>Boodschappenlijst!P22</f>
        <v/>
      </c>
      <c r="D20" s="5">
        <f>Boodschappenlijst!K22</f>
        <v/>
      </c>
      <c r="E20" s="5">
        <f>Boodschappenlijst!N22</f>
        <v/>
      </c>
      <c r="F20" t="inlineStr">
        <is>
          <t>Nee</t>
        </is>
      </c>
    </row>
    <row r="21">
      <c r="A21">
        <f>Boodschappenlijst!E23</f>
        <v/>
      </c>
      <c r="B21">
        <f>Boodschappenlijst!I23</f>
        <v/>
      </c>
      <c r="C21">
        <f>Boodschappenlijst!P23</f>
        <v/>
      </c>
      <c r="D21" s="5">
        <f>Boodschappenlijst!K23</f>
        <v/>
      </c>
      <c r="E21" s="5">
        <f>Boodschappenlijst!N23</f>
        <v/>
      </c>
      <c r="F21" t="inlineStr">
        <is>
          <t>Nee</t>
        </is>
      </c>
    </row>
    <row r="22">
      <c r="D22" s="5" t="n"/>
      <c r="E2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2026-08-22T16:39:35Z</dcterms:created>
  <dcterms:modified xsi:type="dcterms:W3CDTF">2026-08-22T17:02:30Z</dcterms:modified>
</cp:coreProperties>
</file>