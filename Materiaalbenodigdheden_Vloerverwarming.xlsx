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kort" sheetId="1" state="visible" r:id="rId1"/>
    <sheet name="Regeling-keuze" sheetId="2" state="visible" r:id="rId2"/>
    <sheet name="Boodschappenlijst" sheetId="3" state="visible" r:id="rId3"/>
    <sheet name="Tado-aansluiting" sheetId="4" state="visible" r:id="rId4"/>
    <sheet name="Bestelchecklist" sheetId="5" state="visible" r:id="rId5"/>
  </sheets>
  <definedNames>
    <definedName name="_xlnm._FilterDatabase" localSheetId="2" hidden="1">'Boodschappenlijst'!$A$5:$O$24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10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i val="1"/>
      <color rgb="00666666"/>
      <sz val="9"/>
    </font>
    <font>
      <name val="Calibri"/>
      <b val="1"/>
      <sz val="11"/>
    </font>
    <font>
      <b val="1"/>
      <sz val="12"/>
    </font>
    <font>
      <name val="Calibri"/>
      <b val="1"/>
      <color rgb="00FFFFFF"/>
      <sz val="11"/>
    </font>
    <font>
      <name val="Calibri"/>
      <b val="1"/>
      <color rgb="002874A6"/>
      <sz val="12"/>
    </font>
    <font>
      <name val="Calibri"/>
      <color rgb="000563C1"/>
      <sz val="10"/>
      <u val="single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FCF3CF"/>
      </patternFill>
    </fill>
    <fill>
      <patternFill patternType="solid">
        <fgColor rgb="001B4F72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0" fontId="6" fillId="4" borderId="0" pivotButton="0" quotePrefix="0" xfId="0"/>
    <xf numFmtId="164" fontId="0" fillId="5" borderId="1" pivotButton="0" quotePrefix="0" xfId="0"/>
    <xf numFmtId="164" fontId="9" fillId="5" borderId="1" pivotButton="0" quotePrefix="0" xfId="0"/>
    <xf numFmtId="164" fontId="0" fillId="2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1" applyAlignment="1" pivotButton="0" quotePrefix="0" xfId="0">
      <alignment vertical="center" wrapText="1"/>
    </xf>
    <xf numFmtId="164" fontId="0" fillId="2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8" fillId="0" borderId="0" pivotButton="0" quotePrefix="0" xfId="0"/>
    <xf numFmtId="164" fontId="4" fillId="5" borderId="1" pivotButton="0" quotePrefix="0" xfId="0"/>
    <xf numFmtId="164" fontId="4" fillId="2" borderId="1" pivotButton="0" quotePrefix="0" xfId="0"/>
    <xf numFmtId="0" fontId="0" fillId="0" borderId="1" applyAlignment="1" pivotButton="0" quotePrefix="0" xfId="0">
      <alignment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elp.tado.com/en/articles/8953202-how-does-tado-x-control-underfloor-heating-systems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elektramat.nl/magnum-slimfit-12-bevestigingsmat-vloerverwarming-3-75-m2-5-stuks-van-75x100cm-w61012/" TargetMode="External" Id="rId1" /><Relationship Type="http://schemas.openxmlformats.org/officeDocument/2006/relationships/hyperlink" Target="https://www.elektramat.nl/magnum-universele-vloerverwarmingsbuis-5-laags-pe-rt-12x1-5-mm-komo-rol-van-300-meter-w12300/" TargetMode="External" Id="rId2" /><Relationship Type="http://schemas.openxmlformats.org/officeDocument/2006/relationships/hyperlink" Target="https://www.elektramat.nl/magnum-adaptor-euroconus-aansluitkoppeling-12x1-5mm-x-3-4-2-stuks-w90012/" TargetMode="External" Id="rId3" /><Relationship Type="http://schemas.openxmlformats.org/officeDocument/2006/relationships/hyperlink" Target="https://123installatiematerialen.nl/90-bochtondersteuning-buismaat-o-10-12mm-2-stuks/" TargetMode="External" Id="rId4" /><Relationship Type="http://schemas.openxmlformats.org/officeDocument/2006/relationships/hyperlink" Target="https://www.elektramat.nl/magnum-contactlijm-voor-verlijmen-magnum-verlegsystemen-w61027/" TargetMode="External" Id="rId5" /><Relationship Type="http://schemas.openxmlformats.org/officeDocument/2006/relationships/hyperlink" Target="https://vloerverwarmingshop.nl/shop/product/randisolatie-8mm-x-150mm-met-flap-rol-25-meter" TargetMode="External" Id="rId6" /><Relationship Type="http://schemas.openxmlformats.org/officeDocument/2006/relationships/hyperlink" Target="https://egalinexxl.nl/products/kreisel-gruntolit-w-301-voorstrijk-5l" TargetMode="External" Id="rId7" /><Relationship Type="http://schemas.openxmlformats.org/officeDocument/2006/relationships/hyperlink" Target="https://egalinexxl.nl/products/kreisel-418-vezelversterkte-egalisatie-25kg-1-50mm" TargetMode="External" Id="rId8" /><Relationship Type="http://schemas.openxmlformats.org/officeDocument/2006/relationships/hyperlink" Target="https://www.elektramat.nl/magnum-basic-staal-vloerverwarming-verdeler-4-groeps-incl-a-label-pomp-w40004/" TargetMode="External" Id="rId9" /><Relationship Type="http://schemas.openxmlformats.org/officeDocument/2006/relationships/hyperlink" Target="https://www.elektramat.nl/bonfix-meerlagenbuis-alu-pers-systeembuis-16mm-x-2-0mm-op-rol-25-meter-2002715/" TargetMode="External" Id="rId10" /><Relationship Type="http://schemas.openxmlformats.org/officeDocument/2006/relationships/hyperlink" Target="https://online-vloerverwarming.nl/kogelkraan-set-1-rvs-verdeler/" TargetMode="External" Id="rId11" /><Relationship Type="http://schemas.openxmlformats.org/officeDocument/2006/relationships/hyperlink" Target="https://www.vloerverwarmingstore.nl/p/mw-a-actuator-nc-magnum-actuator-normaal-gesloten" TargetMode="External" Id="rId12" /><Relationship Type="http://schemas.openxmlformats.org/officeDocument/2006/relationships/hyperlink" Target="https://www.gamma.nl/assortiment/elektra/elektradraad-en-kabel" TargetMode="External" Id="rId13" /><Relationship Type="http://schemas.openxmlformats.org/officeDocument/2006/relationships/hyperlink" Target="https://www.vloerverwarmingstore.nl/p/h64-cc-regelunit-cc-regelunit-en-h64-mt-thermostaat-ral-9011-zwart" TargetMode="External" Id="rId14" /><Relationship Type="http://schemas.openxmlformats.org/officeDocument/2006/relationships/hyperlink" Target="https://www.vloerverwarmingstore.nl/p/h64-st-klokthermostaat-bedrade-ruimtethermostaat" TargetMode="External" Id="rId15" /><Relationship Type="http://schemas.openxmlformats.org/officeDocument/2006/relationships/hyperlink" Target="https://shop.tado.com/nl-bx/products/wireless-smart-thermostat-x-starter-kit" TargetMode="External" Id="rId16" /><Relationship Type="http://schemas.openxmlformats.org/officeDocument/2006/relationships/hyperlink" Target="https://shop.tado.com/nl-bx/products/smart-thermostat-x-starter-kit-1" TargetMode="External" Id="rId17" /><Relationship Type="http://schemas.openxmlformats.org/officeDocument/2006/relationships/hyperlink" Target="https://shop.tado.com/nl-bx/products/smart-thermostat-x-wired" TargetMode="External" Id="rId18" /><Relationship Type="http://schemas.openxmlformats.org/officeDocument/2006/relationships/hyperlink" Target="https://www.coolblue.nl/thermostaten/tado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55" customWidth="1" min="2" max="2"/>
    <col width="20" customWidth="1" min="3" max="3"/>
  </cols>
  <sheetData>
    <row r="1">
      <c r="A1" s="1" t="inlineStr">
        <is>
          <t>SlimFit-project + Tado/H64 regeling</t>
        </is>
      </c>
    </row>
    <row r="3">
      <c r="A3" s="2" t="inlineStr">
        <is>
          <t>Oppervlak / groepen</t>
        </is>
      </c>
      <c r="B3" s="3" t="inlineStr">
        <is>
          <t>±30 m² · 4 groepen · 3 ruimten apart</t>
        </is>
      </c>
    </row>
    <row r="4">
      <c r="A4" s="2" t="inlineStr">
        <is>
          <t>Gekozen regeling</t>
        </is>
      </c>
      <c r="B4" s="4">
        <f>'Regeling-keuze'!B4</f>
        <v/>
      </c>
    </row>
    <row r="6">
      <c r="A6" s="5" t="inlineStr">
        <is>
          <t>Kostenvergelijking (incl. BTW)</t>
        </is>
      </c>
    </row>
    <row r="7">
      <c r="A7" s="3" t="inlineStr">
        <is>
          <t>Basis materiaal (vloer + verdeler + actuators)</t>
        </is>
      </c>
      <c r="B7" s="6" t="n">
        <v>2156.42</v>
      </c>
    </row>
    <row r="8">
      <c r="A8" s="3" t="inlineStr">
        <is>
          <t>Met Tado draadloos (aanbevolen draadloos)</t>
        </is>
      </c>
      <c r="B8" s="7" t="n">
        <v>2543.42</v>
      </c>
    </row>
    <row r="9">
      <c r="A9" s="3" t="inlineStr">
        <is>
          <t>Met Tado bedraad (vaak goedkoopst)</t>
        </is>
      </c>
      <c r="B9" s="7" t="n">
        <v>2486.41</v>
      </c>
    </row>
    <row r="10">
      <c r="A10" s="3" t="inlineStr">
        <is>
          <t>Met Magnum H64</t>
        </is>
      </c>
      <c r="B10" s="8" t="n">
        <v>2497.32</v>
      </c>
    </row>
    <row r="12">
      <c r="A12" s="9" t="inlineStr">
        <is>
          <t>Tado-materialen kort</t>
        </is>
      </c>
    </row>
    <row r="13">
      <c r="A13" t="inlineStr">
        <is>
          <t>Draadloos: 3× Starterskit (Ontvanger + Sensor) ≈ €387 + bestaande 4 actuators</t>
        </is>
      </c>
    </row>
    <row r="14">
      <c r="A14" t="inlineStr">
        <is>
          <t>Bedraad: 1× Starter (thermostaat+Bridge) + 2× Thermostaat X ≈ €330 + bestaande 4 actuators</t>
        </is>
      </c>
    </row>
    <row r="15">
      <c r="A15" t="inlineStr">
        <is>
          <t>Zie tabblad Regeling-keuze voor uitleg per kamer</t>
        </is>
      </c>
    </row>
  </sheetData>
  <mergeCells count="2">
    <mergeCell ref="A1:C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28" customWidth="1" min="4" max="4"/>
    <col width="42" customWidth="1" min="5" max="5"/>
  </cols>
  <sheetData>
    <row r="1">
      <c r="A1" s="1" t="inlineStr">
        <is>
          <t>3 ruimten apart regelen: Magnum H64 of tado°?</t>
        </is>
      </c>
    </row>
    <row r="2">
      <c r="A2" s="10" t="inlineStr">
        <is>
          <t>Jouw zones: Kamer 15 m² (2 groepen) · Studeerkamer 10 m² (1 groep) · 3e ruimte (1 groep). Actuators op de verdeler blijven in alle opties nodig.</t>
        </is>
      </c>
    </row>
    <row r="4">
      <c r="A4" s="2" t="inlineStr">
        <is>
          <t>Kies hier je regeling →</t>
        </is>
      </c>
      <c r="B4" s="11" t="inlineStr">
        <is>
          <t>Tado draadloos (3 ruimten)</t>
        </is>
      </c>
      <c r="C4" s="10" t="inlineStr">
        <is>
          <t>← wijzig dit veld; totalen op Boodschappenlijst volgen de keuze via kolom Keuze</t>
        </is>
      </c>
    </row>
    <row r="6">
      <c r="A6" s="12" t="inlineStr">
        <is>
          <t>Onderdeel</t>
        </is>
      </c>
      <c r="B6" s="12" t="inlineStr">
        <is>
          <t>Tado draadloos</t>
        </is>
      </c>
      <c r="C6" s="12" t="inlineStr">
        <is>
          <t>Tado bedraad</t>
        </is>
      </c>
      <c r="D6" s="12" t="inlineStr">
        <is>
          <t>Magnum H64</t>
        </is>
      </c>
      <c r="E6" s="12" t="inlineStr">
        <is>
          <t>Toelichting</t>
        </is>
      </c>
    </row>
    <row r="7" ht="28" customHeight="1">
      <c r="A7" s="13" t="inlineStr">
        <is>
          <t>Ruimten apart</t>
        </is>
      </c>
      <c r="B7" s="13" t="inlineStr">
        <is>
          <t>Ja – 3 zones</t>
        </is>
      </c>
      <c r="C7" s="13" t="inlineStr">
        <is>
          <t>Ja – 3 zones</t>
        </is>
      </c>
      <c r="D7" s="13" t="inlineStr">
        <is>
          <t>Ja – master + 2 slaves</t>
        </is>
      </c>
      <c r="E7" s="13" t="inlineStr">
        <is>
          <t>Alle drie kunnen 3 kamers apart</t>
        </is>
      </c>
    </row>
    <row r="8" ht="28" customHeight="1">
      <c r="A8" s="13" t="inlineStr">
        <is>
          <t>App / slim</t>
        </is>
      </c>
      <c r="B8" s="13" t="inlineStr">
        <is>
          <t>tado° app + Matter</t>
        </is>
      </c>
      <c r="C8" s="13" t="inlineStr">
        <is>
          <t>tado° app + Matter</t>
        </is>
      </c>
      <c r="D8" s="13" t="inlineStr">
        <is>
          <t>MAGNUM HeatLink app</t>
        </is>
      </c>
      <c r="E8" s="13" t="inlineStr">
        <is>
          <t>Tado: HomeKit/Alexa/Google/Matter</t>
        </is>
      </c>
    </row>
    <row r="9" ht="28" customHeight="1">
      <c r="A9" s="13" t="inlineStr">
        <is>
          <t>Hardware</t>
        </is>
      </c>
      <c r="B9" s="13" t="inlineStr">
        <is>
          <t>3× Starterskit draadloos</t>
        </is>
      </c>
      <c r="C9" s="13" t="inlineStr">
        <is>
          <t>1× Starter + 2× bedrade thermostaat</t>
        </is>
      </c>
      <c r="D9" s="13" t="inlineStr">
        <is>
          <t>1× H64-CC + 2× H64-ST</t>
        </is>
      </c>
      <c r="E9" s="13" t="inlineStr"/>
    </row>
    <row r="10" ht="28" customHeight="1">
      <c r="A10" s="13" t="inlineStr">
        <is>
          <t>Bij verdeler</t>
        </is>
      </c>
      <c r="B10" s="13" t="inlineStr">
        <is>
          <t>3× Ontvanger X → actuators</t>
        </is>
      </c>
      <c r="C10" s="13" t="inlineStr">
        <is>
          <t>Bedrading thermostaat → actuators</t>
        </is>
      </c>
      <c r="D10" s="13" t="inlineStr">
        <is>
          <t>H64-unit → actuators</t>
        </is>
      </c>
      <c r="E10" s="13" t="inlineStr">
        <is>
          <t>Kamer met 2 groepen: 2 actuators parallel</t>
        </is>
      </c>
    </row>
    <row r="11" ht="28" customHeight="1">
      <c r="A11" s="13" t="inlineStr">
        <is>
          <t>Actuators 4×</t>
        </is>
      </c>
      <c r="B11" s="13" t="inlineStr">
        <is>
          <t>Ja, houden</t>
        </is>
      </c>
      <c r="C11" s="13" t="inlineStr">
        <is>
          <t>Ja, houden</t>
        </is>
      </c>
      <c r="D11" s="13" t="inlineStr">
        <is>
          <t>Ja, houden</t>
        </is>
      </c>
      <c r="E11" s="13" t="inlineStr">
        <is>
          <t>MW-A 230V NC op verdeler</t>
        </is>
      </c>
    </row>
    <row r="12" ht="28" customHeight="1">
      <c r="A12" s="13" t="inlineStr">
        <is>
          <t>Indicatie regeling only</t>
        </is>
      </c>
      <c r="B12" s="13" t="inlineStr">
        <is>
          <t>± € 387</t>
        </is>
      </c>
      <c r="C12" s="13" t="inlineStr">
        <is>
          <t>± € 330</t>
        </is>
      </c>
      <c r="D12" s="13" t="inlineStr">
        <is>
          <t>± € 341</t>
        </is>
      </c>
      <c r="E12" s="13" t="inlineStr">
        <is>
          <t>Excl. basisvloerverwarming</t>
        </is>
      </c>
    </row>
    <row r="13" ht="28" customHeight="1">
      <c r="A13" s="13" t="inlineStr">
        <is>
          <t>Levertijd</t>
        </is>
      </c>
      <c r="B13" s="13" t="inlineStr">
        <is>
          <t>2–4 werkdagen</t>
        </is>
      </c>
      <c r="C13" s="13" t="inlineStr">
        <is>
          <t>2–4 werkdagen</t>
        </is>
      </c>
      <c r="D13" s="13" t="inlineStr">
        <is>
          <t>1–2 werkdagen</t>
        </is>
      </c>
      <c r="E13" s="13" t="inlineStr"/>
    </row>
    <row r="15">
      <c r="A15" s="5" t="inlineStr">
        <is>
          <t>Hoe Tado de 3 ruimten aanstuurt</t>
        </is>
      </c>
    </row>
    <row r="16" ht="30" customHeight="1">
      <c r="A16" s="14" t="inlineStr">
        <is>
          <t>Per ruimte meet een tado°-thermostaat/sensor de temperatuur. Bij warmtevraag schakelt de bijbehorende Ontvanger X (draadloos) of het relais van de bedrade thermostaat de 230V-actuators van die zone op de verdeler. Kamer 15 m² heeft 2 groepen → koppel beide actuators van die kamer aan dezelfde Tado-zone. Studeerkamer en 3e ruimte elk 1 actuator/zone. De mengverdeler + pomp blijven gewoon hun werk doen; Tado regelt alleen open/dicht per kamer. H64-regelunit + H64-thermostaten koop je dan NIET.</t>
        </is>
      </c>
    </row>
    <row r="17"/>
    <row r="18"/>
    <row r="20">
      <c r="A20" s="10" t="inlineStr">
        <is>
          <t>Bron: tado° Help – meerdere vloerverwarmingszones = 1 smart thermostat / starterkit per zone.</t>
        </is>
      </c>
    </row>
    <row r="21">
      <c r="A21" s="15" t="inlineStr">
        <is>
          <t>https://help.tado.com/en/articles/8953202-how-does-tado-x-control-underfloor-heating-systems</t>
        </is>
      </c>
    </row>
  </sheetData>
  <mergeCells count="4">
    <mergeCell ref="A2:E2"/>
    <mergeCell ref="A15:E15"/>
    <mergeCell ref="A1:E1"/>
    <mergeCell ref="A16:E18"/>
  </mergeCells>
  <dataValidations count="1">
    <dataValidation sqref="B4" showDropDown="0" showInputMessage="0" showErrorMessage="0" allowBlank="0" type="list">
      <formula1>"Tado draadloos (3 ruimten),Tado bedraad (3 ruimten),Magnum H64"</formula1>
    </dataValidation>
  </dataValidations>
  <hyperlinks>
    <hyperlink xmlns:r="http://schemas.openxmlformats.org/officeDocument/2006/relationships" ref="A2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8" customWidth="1" min="4" max="4"/>
    <col width="14" customWidth="1" min="5" max="5"/>
    <col width="40" customWidth="1" min="6" max="6"/>
    <col width="40" customWidth="1" min="7" max="7"/>
    <col width="11" customWidth="1" min="8" max="8"/>
    <col width="11" customWidth="1" min="9" max="9"/>
    <col width="14" customWidth="1" min="10" max="10"/>
    <col width="14" customWidth="1" min="11" max="11"/>
    <col width="14" customWidth="1" min="12" max="12"/>
    <col width="18" customWidth="1" min="13" max="13"/>
    <col width="42" customWidth="1" min="14" max="14"/>
    <col width="28" customWidth="1" min="15" max="15"/>
  </cols>
  <sheetData>
    <row r="1">
      <c r="A1" s="1" t="inlineStr">
        <is>
          <t>Boodschappenlijst – SlimFit + regeling (H64 of Tado)</t>
        </is>
      </c>
    </row>
    <row r="2">
      <c r="A2" s="10" t="inlineStr">
        <is>
          <t>Totalen zijn vaste bedragen. Filter kolom Keuze op jouw regeling. Geel = aanpasbaar.</t>
        </is>
      </c>
    </row>
    <row r="3">
      <c r="A3" s="2" t="inlineStr">
        <is>
          <t>Actieve regeling (zelfde als Regeling-keuze!B4)</t>
        </is>
      </c>
      <c r="B3" s="4">
        <f>IFERROR('Regeling-keuze'!B4,"Tado draadloos (3 ruimten)")</f>
        <v/>
      </c>
      <c r="C3" s="16" t="n"/>
      <c r="D3" s="17" t="n"/>
    </row>
    <row r="5" ht="34" customHeight="1">
      <c r="A5" s="12" t="inlineStr">
        <is>
          <t>Nr</t>
        </is>
      </c>
      <c r="B5" s="12" t="inlineStr">
        <is>
          <t>Keuze</t>
        </is>
      </c>
      <c r="C5" s="12" t="inlineStr">
        <is>
          <t>Categorie</t>
        </is>
      </c>
      <c r="D5" s="12" t="inlineStr">
        <is>
          <t>Benodigd artikel</t>
        </is>
      </c>
      <c r="E5" s="12" t="inlineStr">
        <is>
          <t>Artikelnr</t>
        </is>
      </c>
      <c r="F5" s="12" t="inlineStr">
        <is>
          <t>Omschrijving product</t>
        </is>
      </c>
      <c r="G5" s="12" t="inlineStr">
        <is>
          <t>Waarvoor nodig</t>
        </is>
      </c>
      <c r="H5" s="12" t="inlineStr">
        <is>
          <t>Hoeveelheid</t>
        </is>
      </c>
      <c r="I5" s="12" t="inlineStr">
        <is>
          <t>Eenheid</t>
        </is>
      </c>
      <c r="J5" s="12" t="inlineStr">
        <is>
          <t>Prijs/eenheid incl. BTW</t>
        </is>
      </c>
      <c r="K5" s="12" t="inlineStr">
        <is>
          <t>Totaal incl. BTW</t>
        </is>
      </c>
      <c r="L5" s="12" t="inlineStr">
        <is>
          <t>Levertijd</t>
        </is>
      </c>
      <c r="M5" s="12" t="inlineStr">
        <is>
          <t>Webshop</t>
        </is>
      </c>
      <c r="N5" s="12" t="inlineStr">
        <is>
          <t>Product-URL</t>
        </is>
      </c>
      <c r="O5" s="12" t="inlineStr">
        <is>
          <t>Opmerking</t>
        </is>
      </c>
    </row>
    <row r="6" ht="68" customHeight="1">
      <c r="A6" s="13" t="n">
        <v>1</v>
      </c>
      <c r="B6" s="13" t="inlineStr">
        <is>
          <t>altijd</t>
        </is>
      </c>
      <c r="C6" s="13" t="inlineStr">
        <is>
          <t>Bevestiging</t>
        </is>
      </c>
      <c r="D6" s="13" t="inlineStr">
        <is>
          <t>MAGNUM SlimFit 12 bevestigingsmat 3,75 m² (5 platen 75×100 cm)</t>
        </is>
      </c>
      <c r="E6" s="13" t="inlineStr">
        <is>
          <t>W61012</t>
        </is>
      </c>
      <c r="F6" s="13" t="inlineStr">
        <is>
          <t>Kunststof klikmatten (5 platen van 75×100 cm per pak = 3,75 m²) met lage opbouw (~14 mm). De 12 mm verwarmingsbuis klikt in de mat.</t>
        </is>
      </c>
      <c r="G6" s="13" t="inlineStr">
        <is>
          <t>Vormt de basislaag waarin je de buizen vastlegt over het hele vloeroppervlak (±30 m²).</t>
        </is>
      </c>
      <c r="H6" s="18" t="n">
        <v>8</v>
      </c>
      <c r="I6" s="13" t="inlineStr">
        <is>
          <t>pak</t>
        </is>
      </c>
      <c r="J6" s="19" t="n">
        <v>86.94</v>
      </c>
      <c r="K6" s="20" t="n">
        <v>695.52</v>
      </c>
      <c r="L6" s="13" t="inlineStr">
        <is>
          <t>1 werkdag</t>
        </is>
      </c>
      <c r="M6" s="13" t="inlineStr">
        <is>
          <t>Elektramat</t>
        </is>
      </c>
      <c r="N6" s="21" t="inlineStr">
        <is>
          <t>https://www.elektramat.nl/magnum-slimfit-12-bevestigingsmat-vloerverwarming-3-75-m2-5-stuks-van-75x100cm-w61012/</t>
        </is>
      </c>
      <c r="O6" s="13" t="inlineStr">
        <is>
          <t>8 × 3,75 m² = 30 m²</t>
        </is>
      </c>
    </row>
    <row r="7" ht="68" customHeight="1">
      <c r="A7" s="13" t="n">
        <v>2</v>
      </c>
      <c r="B7" s="13" t="inlineStr">
        <is>
          <t>altijd</t>
        </is>
      </c>
      <c r="C7" s="13" t="inlineStr">
        <is>
          <t>Buis</t>
        </is>
      </c>
      <c r="D7" s="13" t="inlineStr">
        <is>
          <t>MAGNUM PE-RT buis 12×1,5 mm KOMO – rol 300 m</t>
        </is>
      </c>
      <c r="E7" s="13" t="inlineStr">
        <is>
          <t>W12300</t>
        </is>
      </c>
      <c r="F7" s="13" t="inlineStr">
        <is>
          <t>Zuurstofdichte 5-laags PE-RT vloerverwarmingsbuis ø12 mm. Flexibel, KOMO-gekeurd, max. ±100 m per groep.</t>
        </is>
      </c>
      <c r="G7" s="13" t="inlineStr">
        <is>
          <t>Voert het warme water door de vloer; hiermee leg je de 4 verwarmingscircuits.</t>
        </is>
      </c>
      <c r="H7" s="18" t="n">
        <v>1</v>
      </c>
      <c r="I7" s="13" t="inlineStr">
        <is>
          <t>rol</t>
        </is>
      </c>
      <c r="J7" s="19" t="n">
        <v>181.86</v>
      </c>
      <c r="K7" s="20" t="n">
        <v>181.86</v>
      </c>
      <c r="L7" s="13" t="inlineStr">
        <is>
          <t>1 werkdag</t>
        </is>
      </c>
      <c r="M7" s="13" t="inlineStr">
        <is>
          <t>Elektramat</t>
        </is>
      </c>
      <c r="N7" s="21" t="inlineStr">
        <is>
          <t>https://www.elektramat.nl/magnum-universele-vloerverwarmingsbuis-5-laags-pe-rt-12x1-5-mm-komo-rol-van-300-meter-w12300/</t>
        </is>
      </c>
      <c r="O7" s="13" t="inlineStr">
        <is>
          <t>Voldoende voor 4 groepen</t>
        </is>
      </c>
    </row>
    <row r="8" ht="68" customHeight="1">
      <c r="A8" s="13" t="n">
        <v>3</v>
      </c>
      <c r="B8" s="13" t="inlineStr">
        <is>
          <t>altijd</t>
        </is>
      </c>
      <c r="C8" s="13" t="inlineStr">
        <is>
          <t>Aansluiting</t>
        </is>
      </c>
      <c r="D8" s="13" t="inlineStr">
        <is>
          <t>MAGNUM Euroconus / adaptor 12×1,5 mm × ¾″ (set van 2)</t>
        </is>
      </c>
      <c r="E8" s="13" t="inlineStr">
        <is>
          <t>W90012</t>
        </is>
      </c>
      <c r="F8" s="13" t="inlineStr">
        <is>
          <t>Stalen knelkoppeling: verbindt 12 mm buis aan de ¾″ Euroconus van de verdeler. Set = 2 stuks.</t>
        </is>
      </c>
      <c r="G8" s="13" t="inlineStr">
        <is>
          <t>Nodig om elke groep (aanvoer + retour) waterdicht op de verdeler aan te sluiten.</t>
        </is>
      </c>
      <c r="H8" s="18" t="n">
        <v>4</v>
      </c>
      <c r="I8" s="13" t="inlineStr">
        <is>
          <t>set</t>
        </is>
      </c>
      <c r="J8" s="19" t="n">
        <v>4.69</v>
      </c>
      <c r="K8" s="20" t="n">
        <v>18.76</v>
      </c>
      <c r="L8" s="13" t="inlineStr">
        <is>
          <t>1 werkdag</t>
        </is>
      </c>
      <c r="M8" s="13" t="inlineStr">
        <is>
          <t>Elektramat</t>
        </is>
      </c>
      <c r="N8" s="21" t="inlineStr">
        <is>
          <t>https://www.elektramat.nl/magnum-adaptor-euroconus-aansluitkoppeling-12x1-5mm-x-3-4-2-stuks-w90012/</t>
        </is>
      </c>
      <c r="O8" s="13" t="inlineStr">
        <is>
          <t>1 set per groep</t>
        </is>
      </c>
    </row>
    <row r="9" ht="68" customHeight="1">
      <c r="A9" s="13" t="n">
        <v>4</v>
      </c>
      <c r="B9" s="13" t="inlineStr">
        <is>
          <t>altijd</t>
        </is>
      </c>
      <c r="C9" s="13" t="inlineStr">
        <is>
          <t>Aansluiting</t>
        </is>
      </c>
      <c r="D9" s="13" t="inlineStr">
        <is>
          <t>MAGNUM 90° bochtondersteuning ø10–12 mm (set van 2)</t>
        </is>
      </c>
      <c r="E9" s="13" t="inlineStr">
        <is>
          <t>W90125</t>
        </is>
      </c>
      <c r="F9" s="13" t="inlineStr">
        <is>
          <t>Kunststof geleider die de buis in een vaste 90°-hoek houdt zonder knikken.</t>
        </is>
      </c>
      <c r="G9" s="13" t="inlineStr">
        <is>
          <t>Beschermt de buis waar die vanaf de verdeler de vloer in gaat.</t>
        </is>
      </c>
      <c r="H9" s="18" t="n">
        <v>4</v>
      </c>
      <c r="I9" s="13" t="inlineStr">
        <is>
          <t>set</t>
        </is>
      </c>
      <c r="J9" s="19" t="n">
        <v>1.18</v>
      </c>
      <c r="K9" s="20" t="n">
        <v>4.72</v>
      </c>
      <c r="L9" s="13" t="inlineStr">
        <is>
          <t>1–2 werkdagen</t>
        </is>
      </c>
      <c r="M9" s="13" t="inlineStr">
        <is>
          <t>123InstallatieMaterialen</t>
        </is>
      </c>
      <c r="N9" s="21" t="inlineStr">
        <is>
          <t>https://123installatiematerialen.nl/90-bochtondersteuning-buismaat-o-10-12mm-2-stuks/</t>
        </is>
      </c>
      <c r="O9" s="13" t="inlineStr">
        <is>
          <t>8 stuks totaal</t>
        </is>
      </c>
    </row>
    <row r="10" ht="68" customHeight="1">
      <c r="A10" s="13" t="n">
        <v>5</v>
      </c>
      <c r="B10" s="13" t="inlineStr">
        <is>
          <t>altijd</t>
        </is>
      </c>
      <c r="C10" s="13" t="inlineStr">
        <is>
          <t>Bevestiging</t>
        </is>
      </c>
      <c r="D10" s="13" t="inlineStr">
        <is>
          <t>MAGNUM Contactlijm SlimFit / verlegsystemen 500 ml</t>
        </is>
      </c>
      <c r="E10" s="13" t="inlineStr">
        <is>
          <t>W61027</t>
        </is>
      </c>
      <c r="F10" s="13" t="inlineStr">
        <is>
          <t>Spuitlijm (500 ml) om SlimFit-matten te verlijmen. ±1 bus per 5 m².</t>
        </is>
      </c>
      <c r="G10" s="13" t="inlineStr">
        <is>
          <t>Houdt de matten vast op de ondervloer tijdens leggen en egaliseren.</t>
        </is>
      </c>
      <c r="H10" s="18" t="n">
        <v>6</v>
      </c>
      <c r="I10" s="13" t="inlineStr">
        <is>
          <t>bus</t>
        </is>
      </c>
      <c r="J10" s="19" t="n">
        <v>9.050000000000001</v>
      </c>
      <c r="K10" s="20" t="n">
        <v>54.3</v>
      </c>
      <c r="L10" s="13" t="inlineStr">
        <is>
          <t>1 werkdag</t>
        </is>
      </c>
      <c r="M10" s="13" t="inlineStr">
        <is>
          <t>Elektramat</t>
        </is>
      </c>
      <c r="N10" s="21" t="inlineStr">
        <is>
          <t>https://www.elektramat.nl/magnum-contactlijm-voor-verlijmen-magnum-verlegsystemen-w61027/</t>
        </is>
      </c>
      <c r="O10" s="13" t="inlineStr">
        <is>
          <t>6 bussen voor 30 m²</t>
        </is>
      </c>
    </row>
    <row r="11" ht="68" customHeight="1">
      <c r="A11" s="13" t="n">
        <v>6</v>
      </c>
      <c r="B11" s="13" t="inlineStr">
        <is>
          <t>altijd</t>
        </is>
      </c>
      <c r="C11" s="13" t="inlineStr">
        <is>
          <t>Isolatie</t>
        </is>
      </c>
      <c r="D11" s="13" t="inlineStr">
        <is>
          <t>Randisolatie 8×150 mm met flap – rol 25 m</t>
        </is>
      </c>
      <c r="E11" s="13" t="inlineStr">
        <is>
          <t>M-90111</t>
        </is>
      </c>
      <c r="F11" s="13" t="inlineStr">
        <is>
          <t>PE-schuimstrook 8 mm dik / 150 mm hoog met kleefrand en flap, rol 25 m.</t>
        </is>
      </c>
      <c r="G11" s="13" t="inlineStr">
        <is>
          <t>Rondom tegen muren: voorkomt koudebruggen en vangt uitzetting op.</t>
        </is>
      </c>
      <c r="H11" s="18" t="n">
        <v>3</v>
      </c>
      <c r="I11" s="13" t="inlineStr">
        <is>
          <t>rol</t>
        </is>
      </c>
      <c r="J11" s="19" t="n">
        <v>16.9</v>
      </c>
      <c r="K11" s="20" t="n">
        <v>50.7</v>
      </c>
      <c r="L11" s="13" t="inlineStr">
        <is>
          <t>Volgende werkdag</t>
        </is>
      </c>
      <c r="M11" s="13" t="inlineStr">
        <is>
          <t>Vloerverwarmingshop</t>
        </is>
      </c>
      <c r="N11" s="21" t="inlineStr">
        <is>
          <t>https://vloerverwarmingshop.nl/shop/product/randisolatie-8mm-x-150mm-met-flap-rol-25-meter</t>
        </is>
      </c>
      <c r="O11" s="13" t="inlineStr">
        <is>
          <t>3 × 25 m = 75 m</t>
        </is>
      </c>
    </row>
    <row r="12" ht="68" customHeight="1">
      <c r="A12" s="13" t="n">
        <v>7</v>
      </c>
      <c r="B12" s="13" t="inlineStr">
        <is>
          <t>altijd</t>
        </is>
      </c>
      <c r="C12" s="13" t="inlineStr">
        <is>
          <t>Egalisatie</t>
        </is>
      </c>
      <c r="D12" s="13" t="inlineStr">
        <is>
          <t>Kreisel Gruntolit-W 301 voorstrijk / primer 5 L</t>
        </is>
      </c>
      <c r="E12" s="13" t="inlineStr">
        <is>
          <t>Gruntolit-W 301</t>
        </is>
      </c>
      <c r="F12" s="13" t="inlineStr">
        <is>
          <t>Watergedragen hechtprimer voor cementgebonden ondergronden, 5 liter.</t>
        </is>
      </c>
      <c r="G12" s="13" t="inlineStr">
        <is>
          <t>Zorgt dat egaline goed hecht; zonder primer kan egaline loslaten.</t>
        </is>
      </c>
      <c r="H12" s="18" t="n">
        <v>2</v>
      </c>
      <c r="I12" s="13" t="inlineStr">
        <is>
          <t>bus 5L</t>
        </is>
      </c>
      <c r="J12" s="19" t="n">
        <v>9.289999999999999</v>
      </c>
      <c r="K12" s="20" t="n">
        <v>18.58</v>
      </c>
      <c r="L12" s="13" t="inlineStr">
        <is>
          <t>2–5 werkdagen</t>
        </is>
      </c>
      <c r="M12" s="13" t="inlineStr">
        <is>
          <t>EgalineXXL</t>
        </is>
      </c>
      <c r="N12" s="21" t="inlineStr">
        <is>
          <t>https://egalinexxl.nl/products/kreisel-gruntolit-w-301-voorstrijk-5l</t>
        </is>
      </c>
      <c r="O12" s="13" t="inlineStr">
        <is>
          <t>2 × 5 L = 10 liter</t>
        </is>
      </c>
    </row>
    <row r="13" ht="68" customHeight="1">
      <c r="A13" s="13" t="n">
        <v>8</v>
      </c>
      <c r="B13" s="13" t="inlineStr">
        <is>
          <t>altijd</t>
        </is>
      </c>
      <c r="C13" s="13" t="inlineStr">
        <is>
          <t>Egalisatie</t>
        </is>
      </c>
      <c r="D13" s="13" t="inlineStr">
        <is>
          <t>Kreisel 418 vezelversterkte egaline 25 kg (1–50 mm)</t>
        </is>
      </c>
      <c r="E13" s="13" t="inlineStr">
        <is>
          <t>418</t>
        </is>
      </c>
      <c r="F13" s="13" t="inlineStr">
        <is>
          <t>Zelfnivellerende vezelversterkte egaline 1–50 mm, geschikt over vloerverwarming.</t>
        </is>
      </c>
      <c r="G13" s="13" t="inlineStr">
        <is>
          <t>Gietlaag die buizen/matten inbedt tot vlakke vloer klaar voor afwerking.</t>
        </is>
      </c>
      <c r="H13" s="18" t="n">
        <v>33</v>
      </c>
      <c r="I13" s="13" t="inlineStr">
        <is>
          <t>zak</t>
        </is>
      </c>
      <c r="J13" s="19" t="n">
        <v>14.87</v>
      </c>
      <c r="K13" s="20" t="n">
        <v>490.71</v>
      </c>
      <c r="L13" s="13" t="inlineStr">
        <is>
          <t>2–5 werkdagen</t>
        </is>
      </c>
      <c r="M13" s="13" t="inlineStr">
        <is>
          <t>EgalineXXL</t>
        </is>
      </c>
      <c r="N13" s="21" t="inlineStr">
        <is>
          <t>https://egalinexxl.nl/products/kreisel-418-vezelversterkte-egalisatie-25kg-1-50mm</t>
        </is>
      </c>
      <c r="O13" s="13" t="inlineStr">
        <is>
          <t>Check laagdikte (verbruik ±1,5 kg/m²/mm)</t>
        </is>
      </c>
    </row>
    <row r="14" ht="68" customHeight="1">
      <c r="A14" s="13" t="n">
        <v>9</v>
      </c>
      <c r="B14" s="13" t="inlineStr">
        <is>
          <t>altijd</t>
        </is>
      </c>
      <c r="C14" s="13" t="inlineStr">
        <is>
          <t>Verdeler</t>
        </is>
      </c>
      <c r="D14" s="13" t="inlineStr">
        <is>
          <t>MAGNUM Basic Staal 4-groeps mengverdeler + A-label pomp</t>
        </is>
      </c>
      <c r="E14" s="13" t="inlineStr">
        <is>
          <t>W40004</t>
        </is>
      </c>
      <c r="F14" s="13" t="inlineStr">
        <is>
          <t>Stalen mengverdeler 4 groepen met thermostatische menging, A-label pomp, thermometer, ontluchter.</t>
        </is>
      </c>
      <c r="G14" s="13" t="inlineStr">
        <is>
          <t>Hart van het systeem: mengt CV-water en verdeelt over de 4 groepen.</t>
        </is>
      </c>
      <c r="H14" s="18" t="n">
        <v>1</v>
      </c>
      <c r="I14" s="13" t="inlineStr">
        <is>
          <t>st</t>
        </is>
      </c>
      <c r="J14" s="19" t="n">
        <v>406.52</v>
      </c>
      <c r="K14" s="20" t="n">
        <v>406.52</v>
      </c>
      <c r="L14" s="13" t="inlineStr">
        <is>
          <t>1 werkdag</t>
        </is>
      </c>
      <c r="M14" s="13" t="inlineStr">
        <is>
          <t>Elektramat</t>
        </is>
      </c>
      <c r="N14" s="21" t="inlineStr">
        <is>
          <t>https://www.elektramat.nl/magnum-basic-staal-vloerverwarming-verdeler-4-groeps-incl-a-label-pomp-w40004/</t>
        </is>
      </c>
      <c r="O14" s="13" t="inlineStr">
        <is>
          <t>Primaire aansluiting ½″</t>
        </is>
      </c>
    </row>
    <row r="15" ht="68" customHeight="1">
      <c r="A15" s="13" t="n">
        <v>10</v>
      </c>
      <c r="B15" s="13" t="inlineStr">
        <is>
          <t>altijd</t>
        </is>
      </c>
      <c r="C15" s="13" t="inlineStr">
        <is>
          <t>CV-aansluiting</t>
        </is>
      </c>
      <c r="D15" s="13" t="inlineStr">
        <is>
          <t>Aanvoer + retourleiding vanaf cv (meerlagenbuis 16×2 of koper 15 mm)</t>
        </is>
      </c>
      <c r="E15" s="13" t="inlineStr">
        <is>
          <t>—</t>
        </is>
      </c>
      <c r="F15" s="13" t="inlineStr">
        <is>
          <t>Leidingwerk tussen warmtebron en verdeler (aanvoer + retour).</t>
        </is>
      </c>
      <c r="G15" s="13" t="inlineStr">
        <is>
          <t>Brengt warm water van cv/wp naar de verdeler; lengte hangt af van afstand.</t>
        </is>
      </c>
      <c r="H15" s="18" t="n">
        <v>10</v>
      </c>
      <c r="I15" s="13" t="inlineStr">
        <is>
          <t>m</t>
        </is>
      </c>
      <c r="J15" s="19" t="n">
        <v>8.5</v>
      </c>
      <c r="K15" s="20" t="n">
        <v>85</v>
      </c>
      <c r="L15" s="13" t="inlineStr">
        <is>
          <t>1–3 werkdagen</t>
        </is>
      </c>
      <c r="M15" s="13" t="inlineStr">
        <is>
          <t>Bouwmarkt / installatiezaak</t>
        </is>
      </c>
      <c r="N15" s="21" t="inlineStr">
        <is>
          <t>https://www.elektramat.nl/bonfix-meerlagenbuis-alu-pers-systeembuis-16mm-x-2-0mm-op-rol-25-meter-2002715/</t>
        </is>
      </c>
      <c r="O15" s="13" t="inlineStr">
        <is>
          <t>Pas meters aan</t>
        </is>
      </c>
    </row>
    <row r="16" ht="68" customHeight="1">
      <c r="A16" s="13" t="n">
        <v>11</v>
      </c>
      <c r="B16" s="13" t="inlineStr">
        <is>
          <t>altijd</t>
        </is>
      </c>
      <c r="C16" s="13" t="inlineStr">
        <is>
          <t>CV-aansluiting</t>
        </is>
      </c>
      <c r="D16" s="13" t="inlineStr">
        <is>
          <t>Kogelkranen / koppelingen / verloopstukken (set)</t>
        </is>
      </c>
      <c r="E16" s="13" t="inlineStr">
        <is>
          <t>—</t>
        </is>
      </c>
      <c r="F16" s="13" t="inlineStr">
        <is>
          <t>Afsluitkranen en hulpstukken voor aansluiting/afsluiting van de verdeler.</t>
        </is>
      </c>
      <c r="G16" s="13" t="inlineStr">
        <is>
          <t>Maakt service mogelijk zonder het hele CV-systeem leeg te laten.</t>
        </is>
      </c>
      <c r="H16" s="18" t="n">
        <v>1</v>
      </c>
      <c r="I16" s="13" t="inlineStr">
        <is>
          <t>set</t>
        </is>
      </c>
      <c r="J16" s="19" t="n">
        <v>34.95</v>
      </c>
      <c r="K16" s="20" t="n">
        <v>34.95</v>
      </c>
      <c r="L16" s="13" t="inlineStr">
        <is>
          <t>1–3 werkdagen</t>
        </is>
      </c>
      <c r="M16" s="13" t="inlineStr">
        <is>
          <t>Online-vloerverwarming</t>
        </is>
      </c>
      <c r="N16" s="21" t="inlineStr">
        <is>
          <t>https://online-vloerverwarming.nl/kogelkraan-set-1-rvs-verdeler/</t>
        </is>
      </c>
      <c r="O16" s="13" t="inlineStr">
        <is>
          <t>Check of verdeler al primaire afsluiters heeft</t>
        </is>
      </c>
    </row>
    <row r="17" ht="68" customHeight="1">
      <c r="A17" s="13" t="n">
        <v>12</v>
      </c>
      <c r="B17" s="13" t="inlineStr">
        <is>
          <t>altijd</t>
        </is>
      </c>
      <c r="C17" s="13" t="inlineStr">
        <is>
          <t>Actuators</t>
        </is>
      </c>
      <c r="D17" s="13" t="inlineStr">
        <is>
          <t>MAGNUM MW-A thermische actuator 230V NC M30×1,5</t>
        </is>
      </c>
      <c r="E17" s="13" t="inlineStr">
        <is>
          <t>W80003</t>
        </is>
      </c>
      <c r="F17" s="13" t="inlineStr">
        <is>
          <t>Elektrische thermomotor (normaal gesloten) op de groepsafsluiter van de verdeler.</t>
        </is>
      </c>
      <c r="G17" s="13" t="inlineStr">
        <is>
          <t>Opent/sluit per groep de watertoevoer. Nodig bij H64 én bij Tado (per groep).</t>
        </is>
      </c>
      <c r="H17" s="18" t="n">
        <v>4</v>
      </c>
      <c r="I17" s="13" t="inlineStr">
        <is>
          <t>st</t>
        </is>
      </c>
      <c r="J17" s="19" t="n">
        <v>19.95</v>
      </c>
      <c r="K17" s="20" t="n">
        <v>79.8</v>
      </c>
      <c r="L17" s="13" t="inlineStr">
        <is>
          <t>1–2 werkdagen</t>
        </is>
      </c>
      <c r="M17" s="13" t="inlineStr">
        <is>
          <t>Vloerverwarmingstore</t>
        </is>
      </c>
      <c r="N17" s="21" t="inlineStr">
        <is>
          <t>https://www.vloerverwarmingstore.nl/p/mw-a-actuator-nc-magnum-actuator-normaal-gesloten</t>
        </is>
      </c>
      <c r="O17" s="13" t="inlineStr">
        <is>
          <t>1 per groep = 4 stuks; bij Tado: per kamer-zone parallel schakelen</t>
        </is>
      </c>
    </row>
    <row r="18" ht="68" customHeight="1">
      <c r="A18" s="13" t="n">
        <v>13</v>
      </c>
      <c r="B18" s="13" t="inlineStr">
        <is>
          <t>altijd</t>
        </is>
      </c>
      <c r="C18" s="13" t="inlineStr">
        <is>
          <t>Elektra</t>
        </is>
      </c>
      <c r="D18" s="13" t="inlineStr">
        <is>
          <t>Elektrakabel 230V / signaalkabel naar regeling + pomp</t>
        </is>
      </c>
      <c r="E18" s="13" t="inlineStr">
        <is>
          <t>—</t>
        </is>
      </c>
      <c r="F18" s="13" t="inlineStr">
        <is>
          <t>230V voeding + bedrading tussen thermostaten/ontvangers, actuators en pomp.</t>
        </is>
      </c>
      <c r="G18" s="13" t="inlineStr">
        <is>
          <t>Voeding en aansturing van pomp, actuators en Tado-ontvangers of H64-unit.</t>
        </is>
      </c>
      <c r="H18" s="18" t="n">
        <v>1</v>
      </c>
      <c r="I18" s="13" t="inlineStr">
        <is>
          <t>kleinmateriaal</t>
        </is>
      </c>
      <c r="J18" s="19" t="n">
        <v>35</v>
      </c>
      <c r="K18" s="20" t="n">
        <v>35</v>
      </c>
      <c r="L18" s="13" t="inlineStr">
        <is>
          <t>Direct / bouwmarkt</t>
        </is>
      </c>
      <c r="M18" s="13" t="inlineStr">
        <is>
          <t>Bouwmarkt</t>
        </is>
      </c>
      <c r="N18" s="21" t="inlineStr">
        <is>
          <t>https://www.gamma.nl/assortiment/elektra/elektradraad-en-kabel</t>
        </is>
      </c>
      <c r="O18" s="13" t="inlineStr">
        <is>
          <t>Laat elektra bij voorkeur door elektricien doen</t>
        </is>
      </c>
    </row>
    <row r="19" ht="68" customHeight="1">
      <c r="A19" s="13" t="n">
        <v>14</v>
      </c>
      <c r="B19" s="18" t="inlineStr">
        <is>
          <t>h64</t>
        </is>
      </c>
      <c r="C19" s="13" t="inlineStr">
        <is>
          <t>Regeling H64</t>
        </is>
      </c>
      <c r="D19" s="13" t="inlineStr">
        <is>
          <t>MAGNUM H64-CC regelunit + H64-MT master WiFi-thermostaat</t>
        </is>
      </c>
      <c r="E19" s="13" t="inlineStr">
        <is>
          <t>W81004</t>
        </is>
      </c>
      <c r="F19" s="13" t="inlineStr">
        <is>
          <t>Bedrade zonecontroller (max. 8 zones) inclusief master WiFi-thermostaat.</t>
        </is>
      </c>
      <c r="G19" s="13" t="inlineStr">
        <is>
          <t>Alleen nodig als je KIEST voor Magnum H64 i.p.v. Tado. Stuurt actuators aan.</t>
        </is>
      </c>
      <c r="H19" s="18" t="n">
        <v>1</v>
      </c>
      <c r="I19" s="13" t="inlineStr">
        <is>
          <t>set</t>
        </is>
      </c>
      <c r="J19" s="19" t="n">
        <v>225</v>
      </c>
      <c r="K19" s="20" t="n">
        <v>225</v>
      </c>
      <c r="L19" s="13" t="inlineStr">
        <is>
          <t>1–2 werkdagen</t>
        </is>
      </c>
      <c r="M19" s="13" t="inlineStr">
        <is>
          <t>Vloerverwarmingstore</t>
        </is>
      </c>
      <c r="N19" s="21" t="inlineStr">
        <is>
          <t>https://www.vloerverwarmingstore.nl/p/h64-cc-regelunit-cc-regelunit-en-h64-mt-thermostaat-ral-9011-zwart</t>
        </is>
      </c>
      <c r="O19" s="13" t="inlineStr">
        <is>
          <t>Niet kopen als je Tado neemt</t>
        </is>
      </c>
    </row>
    <row r="20" ht="68" customHeight="1">
      <c r="A20" s="13" t="n">
        <v>15</v>
      </c>
      <c r="B20" s="18" t="inlineStr">
        <is>
          <t>h64</t>
        </is>
      </c>
      <c r="C20" s="13" t="inlineStr">
        <is>
          <t>Regeling H64</t>
        </is>
      </c>
      <c r="D20" s="13" t="inlineStr">
        <is>
          <t>MAGNUM H64-ST slave / klokthermostaat</t>
        </is>
      </c>
      <c r="E20" s="13" t="inlineStr">
        <is>
          <t>W81003</t>
        </is>
      </c>
      <c r="F20" s="13" t="inlineStr">
        <is>
          <t>Extra bedrade programmeerbare ruimtethermostaat (slave) voor H64.</t>
        </is>
      </c>
      <c r="G20" s="13" t="inlineStr">
        <is>
          <t>2e en 3e ruimte bij H64-regeling. Niet nodig bij Tado.</t>
        </is>
      </c>
      <c r="H20" s="18" t="n">
        <v>2</v>
      </c>
      <c r="I20" s="13" t="inlineStr">
        <is>
          <t>st</t>
        </is>
      </c>
      <c r="J20" s="19" t="n">
        <v>57.95</v>
      </c>
      <c r="K20" s="20" t="n">
        <v>115.9</v>
      </c>
      <c r="L20" s="13" t="inlineStr">
        <is>
          <t>1–2 werkdagen</t>
        </is>
      </c>
      <c r="M20" s="13" t="inlineStr">
        <is>
          <t>Vloerverwarmingstore</t>
        </is>
      </c>
      <c r="N20" s="21" t="inlineStr">
        <is>
          <t>https://www.vloerverwarmingstore.nl/p/h64-st-klokthermostaat-bedrade-ruimtethermostaat</t>
        </is>
      </c>
      <c r="O20" s="13" t="inlineStr">
        <is>
          <t>Niet kopen als je Tado neemt</t>
        </is>
      </c>
    </row>
    <row r="21" ht="68" customHeight="1">
      <c r="A21" s="13" t="n">
        <v>16</v>
      </c>
      <c r="B21" s="22" t="inlineStr">
        <is>
          <t>tado_draadloos</t>
        </is>
      </c>
      <c r="C21" s="13" t="inlineStr">
        <is>
          <t>Regeling Tado</t>
        </is>
      </c>
      <c r="D21" s="13" t="inlineStr">
        <is>
          <t>tado° Draadloze Slimme Thermostaat X Starterskit (Ontvanger X + Temperatuursensor X)</t>
        </is>
      </c>
      <c r="E21" s="13" t="inlineStr">
        <is>
          <t>Wireless X Starter</t>
        </is>
      </c>
      <c r="F21" s="13" t="inlineStr">
        <is>
          <t>Set per zone: Draadloze Ontvanger X (bij verdeler, schakelt actuators/zoneklep) + Draadloze Temperatuursensor X (in de kamer). Matter/Thread.</t>
        </is>
      </c>
      <c r="G21" s="13" t="inlineStr">
        <is>
          <t>1 set per ruimte → 3 ruimten apart regelen. Ontvanger opent de actuators van die kamer bij warmtevraag.</t>
        </is>
      </c>
      <c r="H21" s="18" t="n">
        <v>3</v>
      </c>
      <c r="I21" s="13" t="inlineStr">
        <is>
          <t>set</t>
        </is>
      </c>
      <c r="J21" s="19" t="n">
        <v>129</v>
      </c>
      <c r="K21" s="20" t="n">
        <v>387</v>
      </c>
      <c r="L21" s="13" t="inlineStr">
        <is>
          <t>2–4 werkdagen</t>
        </is>
      </c>
      <c r="M21" s="13" t="inlineStr">
        <is>
          <t>tado° Shop</t>
        </is>
      </c>
      <c r="N21" s="21" t="inlineStr">
        <is>
          <t>https://shop.tado.com/nl-bx/products/wireless-smart-thermostat-x-starter-kit</t>
        </is>
      </c>
      <c r="O21" s="13" t="inlineStr">
        <is>
          <t>Aanbevolen draadloze Tado-route; actieprijs shop.tado.com (Coolblue ca. €194)</t>
        </is>
      </c>
    </row>
    <row r="22" ht="68" customHeight="1">
      <c r="A22" s="13" t="n">
        <v>17</v>
      </c>
      <c r="B22" s="22" t="inlineStr">
        <is>
          <t>tado_bedraad</t>
        </is>
      </c>
      <c r="C22" s="13" t="inlineStr">
        <is>
          <t>Regeling Tado</t>
        </is>
      </c>
      <c r="D22" s="13" t="inlineStr">
        <is>
          <t>tado° Slimme Thermostaat X Starterskit bedraad (thermostaat + Bridge X)</t>
        </is>
      </c>
      <c r="E22" s="13" t="inlineStr">
        <is>
          <t>Wired X Starter</t>
        </is>
      </c>
      <c r="F22" s="13" t="inlineStr">
        <is>
          <t>Bedrade Slimme Thermostaat X + Bridge X (internet/Thread). Geschikt voor vloerverwarming-modus.</t>
        </is>
      </c>
      <c r="G22" s="13" t="inlineStr">
        <is>
          <t>Kamer 1: meet temperatuur én schakelt de actuators van die zone (of ketel, afhankelijk van bekabeling).</t>
        </is>
      </c>
      <c r="H22" s="18" t="n">
        <v>1</v>
      </c>
      <c r="I22" s="13" t="inlineStr">
        <is>
          <t>set</t>
        </is>
      </c>
      <c r="J22" s="19" t="n">
        <v>129.99</v>
      </c>
      <c r="K22" s="20" t="n">
        <v>129.99</v>
      </c>
      <c r="L22" s="13" t="inlineStr">
        <is>
          <t>2–4 werkdagen</t>
        </is>
      </c>
      <c r="M22" s="13" t="inlineStr">
        <is>
          <t>tado° Shop</t>
        </is>
      </c>
      <c r="N22" s="21" t="inlineStr">
        <is>
          <t>https://shop.tado.com/nl-bx/products/smart-thermostat-x-starter-kit-1</t>
        </is>
      </c>
      <c r="O22" s="13" t="inlineStr">
        <is>
          <t>Goedkopere Tado-route dan 3× draadloos</t>
        </is>
      </c>
    </row>
    <row r="23" ht="68" customHeight="1">
      <c r="A23" s="13" t="n">
        <v>18</v>
      </c>
      <c r="B23" s="22" t="inlineStr">
        <is>
          <t>tado_bedraad</t>
        </is>
      </c>
      <c r="C23" s="13" t="inlineStr">
        <is>
          <t>Regeling Tado</t>
        </is>
      </c>
      <c r="D23" s="13" t="inlineStr">
        <is>
          <t>tado° Slimme Thermostaat X bedraad (uitbreiding / multi-zone)</t>
        </is>
      </c>
      <c r="E23" s="13" t="inlineStr">
        <is>
          <t>Smart Thermostat X</t>
        </is>
      </c>
      <c r="F23" s="13" t="inlineStr">
        <is>
          <t>Extra bedrade Slimme Thermostaat X zonder Bridge. Werkt via Bridge X uit de starterskit.</t>
        </is>
      </c>
      <c r="G23" s="13" t="inlineStr">
        <is>
          <t>Kamer 2 en 3: elk een eigen thermostaat → 3 ruimten apart. Bedraad naar actuators van die zone.</t>
        </is>
      </c>
      <c r="H23" s="18" t="n">
        <v>2</v>
      </c>
      <c r="I23" s="13" t="inlineStr">
        <is>
          <t>st</t>
        </is>
      </c>
      <c r="J23" s="19" t="n">
        <v>100</v>
      </c>
      <c r="K23" s="20" t="n">
        <v>200</v>
      </c>
      <c r="L23" s="13" t="inlineStr">
        <is>
          <t>2–4 werkdagen</t>
        </is>
      </c>
      <c r="M23" s="13" t="inlineStr">
        <is>
          <t>tado° Shop</t>
        </is>
      </c>
      <c r="N23" s="21" t="inlineStr">
        <is>
          <t>https://shop.tado.com/nl-bx/products/smart-thermostat-x-wired</t>
        </is>
      </c>
      <c r="O23" s="13" t="inlineStr">
        <is>
          <t>Bridge X zit al in starterskit</t>
        </is>
      </c>
    </row>
    <row r="24" ht="68" customHeight="1">
      <c r="A24" s="13" t="n">
        <v>19</v>
      </c>
      <c r="B24" s="23" t="inlineStr">
        <is>
          <t>tado_optie</t>
        </is>
      </c>
      <c r="C24" s="13" t="inlineStr">
        <is>
          <t>Regeling Tado</t>
        </is>
      </c>
      <c r="D24" s="13" t="inlineStr">
        <is>
          <t>tado° Bridge X (extra, alleen indien nodig)</t>
        </is>
      </c>
      <c r="E24" s="13" t="inlineStr">
        <is>
          <t>Bridge X</t>
        </is>
      </c>
      <c r="F24" s="13" t="inlineStr">
        <is>
          <t>Thread Border Router voor internetverbinding van tado° X. Bij draadloze starterkits vaak al afgedekt door Ontvanger X.</t>
        </is>
      </c>
      <c r="G24" s="13" t="inlineStr">
        <is>
          <t>Alleen extra bestellen bij bereikproblemen of als je bedrade thermostaten zonder starterskit koopt.</t>
        </is>
      </c>
      <c r="H24" s="18" t="n">
        <v>0</v>
      </c>
      <c r="I24" s="13" t="inlineStr">
        <is>
          <t>st</t>
        </is>
      </c>
      <c r="J24" s="19" t="n">
        <v>68</v>
      </c>
      <c r="K24" s="20" t="n">
        <v>0</v>
      </c>
      <c r="L24" s="13" t="inlineStr">
        <is>
          <t>1–3 werkdagen</t>
        </is>
      </c>
      <c r="M24" s="13" t="inlineStr">
        <is>
          <t>Coolblue / tado°</t>
        </is>
      </c>
      <c r="N24" s="21" t="inlineStr">
        <is>
          <t>https://www.coolblue.nl/thermostaten/tado</t>
        </is>
      </c>
      <c r="O24" s="13" t="inlineStr">
        <is>
          <t>Standaard qty=0; zet op 1 indien nodig</t>
        </is>
      </c>
    </row>
    <row r="26">
      <c r="I26" s="2" t="inlineStr">
        <is>
          <t>Basis (zonder regeling-thermostaten)</t>
        </is>
      </c>
      <c r="K26" s="6" t="n">
        <v>2156.42</v>
      </c>
    </row>
    <row r="27">
      <c r="I27" s="24" t="inlineStr">
        <is>
          <t>Totaal met Tado DRAADLOOS (3 ruimten)</t>
        </is>
      </c>
      <c r="K27" s="25" t="n">
        <v>2543.42</v>
      </c>
    </row>
    <row r="28">
      <c r="I28" s="24" t="inlineStr">
        <is>
          <t>Totaal met Tado BEDRAAD (3 ruimten)</t>
        </is>
      </c>
      <c r="K28" s="25" t="n">
        <v>2486.41</v>
      </c>
    </row>
    <row r="29">
      <c r="I29" s="24" t="inlineStr">
        <is>
          <t>Totaal met Magnum H64</t>
        </is>
      </c>
      <c r="K29" s="26" t="n">
        <v>2497.32</v>
      </c>
    </row>
    <row r="31">
      <c r="A31" s="9" t="inlineStr">
        <is>
          <t>Legenda Keuze-kolom</t>
        </is>
      </c>
    </row>
    <row r="32">
      <c r="A32" s="10" t="inlineStr">
        <is>
          <t>altijd = altijd nodig · h64 = alleen bij Magnum H64 · tado_draadloos / tado_bedraad = alleen bij die Tado-route · tado_optie = optioneel</t>
        </is>
      </c>
    </row>
    <row r="33">
      <c r="A33" s="10" t="inlineStr">
        <is>
          <t>Koop NIET zowel H64 als Tado. Kies één regelingsysteem. Actuators (nr 12) heb je in alle gevallen nodig.</t>
        </is>
      </c>
    </row>
  </sheetData>
  <autoFilter ref="A5:O24"/>
  <mergeCells count="5">
    <mergeCell ref="B3:D3"/>
    <mergeCell ref="A2:O2"/>
    <mergeCell ref="A33:O33"/>
    <mergeCell ref="A1:O1"/>
    <mergeCell ref="A32:O3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48" customWidth="1" min="4" max="4"/>
  </cols>
  <sheetData>
    <row r="1">
      <c r="A1" s="1" t="inlineStr">
        <is>
          <t>Tado → 3 ruimten op jouw 4-groepsverdeler</t>
        </is>
      </c>
    </row>
    <row r="3">
      <c r="A3" s="12" t="inlineStr">
        <is>
          <t>Ruimte</t>
        </is>
      </c>
      <c r="B3" s="12" t="inlineStr">
        <is>
          <t>Groepen op verdeler</t>
        </is>
      </c>
      <c r="C3" s="12" t="inlineStr">
        <is>
          <t>Tado-apparaat in kamer</t>
        </is>
      </c>
      <c r="D3" s="12" t="inlineStr">
        <is>
          <t>Aansturing bij verdeler</t>
        </is>
      </c>
    </row>
    <row r="4" ht="36" customHeight="1">
      <c r="A4" s="13" t="inlineStr">
        <is>
          <t>Kamer 15 m²</t>
        </is>
      </c>
      <c r="B4" s="13" t="inlineStr">
        <is>
          <t>Groep 1 + Groep 2</t>
        </is>
      </c>
      <c r="C4" s="13" t="inlineStr">
        <is>
          <t>Sensor X of bedrade Thermostaat X</t>
        </is>
      </c>
      <c r="D4" s="13" t="inlineStr">
        <is>
          <t>1 Ontvanger X / 1 relais → beide actuators parallel</t>
        </is>
      </c>
    </row>
    <row r="5" ht="36" customHeight="1">
      <c r="A5" s="13" t="inlineStr">
        <is>
          <t>Studeerkamer 10 m²</t>
        </is>
      </c>
      <c r="B5" s="13" t="inlineStr">
        <is>
          <t>Groep 3</t>
        </is>
      </c>
      <c r="C5" s="13" t="inlineStr">
        <is>
          <t>Sensor X of bedrade Thermostaat X</t>
        </is>
      </c>
      <c r="D5" s="13" t="inlineStr">
        <is>
          <t>1 Ontvanger X / 1 relais → actuator groep 3</t>
        </is>
      </c>
    </row>
    <row r="6" ht="36" customHeight="1">
      <c r="A6" s="13" t="inlineStr">
        <is>
          <t>3e ruimte</t>
        </is>
      </c>
      <c r="B6" s="13" t="inlineStr">
        <is>
          <t>Groep 4</t>
        </is>
      </c>
      <c r="C6" s="13" t="inlineStr">
        <is>
          <t>Sensor X of bedrade Thermostaat X</t>
        </is>
      </c>
      <c r="D6" s="13" t="inlineStr">
        <is>
          <t>1 Ontvanger X / 1 relais → actuator groep 4</t>
        </is>
      </c>
    </row>
    <row r="8">
      <c r="A8" s="9" t="inlineStr">
        <is>
          <t>Belangrijk</t>
        </is>
      </c>
    </row>
    <row r="9">
      <c r="A9" t="inlineStr">
        <is>
          <t>• Magnum H64-unit + H64-thermostaten vervallen bij Tado (niet dubbel kopen).</t>
        </is>
      </c>
    </row>
    <row r="10">
      <c r="A10" t="inlineStr">
        <is>
          <t>• De 4 Magnum MW-A actuators blijf je wel nodig hebben (of vergelijkbare 230V NC M30×1,5).</t>
        </is>
      </c>
    </row>
    <row r="11">
      <c r="A11" t="inlineStr">
        <is>
          <t>• Zet in de tado°-app Underfloor Heating Control Mode aan voor vloerverwarming.</t>
        </is>
      </c>
    </row>
    <row r="12">
      <c r="A12" t="inlineStr">
        <is>
          <t>• Ketel/warmtepomp: vaak 1 zone-controller of ontvanger ook gekoppeld aan warmtevraag cv – volg tado° Product Finder / installateur.</t>
        </is>
      </c>
    </row>
    <row r="13">
      <c r="A13" t="inlineStr">
        <is>
          <t>• Controleer of je cv-ketel compatibel is met tado° X (OpenTherm of relais).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48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Bestelchecklist</t>
        </is>
      </c>
    </row>
    <row r="3">
      <c r="A3" s="12" t="inlineStr">
        <is>
          <t>Artikel</t>
        </is>
      </c>
      <c r="B3" s="12" t="inlineStr">
        <is>
          <t>Keuze</t>
        </is>
      </c>
      <c r="C3" s="12" t="inlineStr">
        <is>
          <t>Waarvoor nodig</t>
        </is>
      </c>
      <c r="D3" s="12" t="inlineStr">
        <is>
          <t>Besteld?</t>
        </is>
      </c>
      <c r="E3" s="12" t="inlineStr">
        <is>
          <t>Ordernr</t>
        </is>
      </c>
      <c r="F3" s="12" t="inlineStr">
        <is>
          <t>Ontvangen?</t>
        </is>
      </c>
    </row>
    <row r="4" ht="36" customHeight="1">
      <c r="A4" s="3" t="inlineStr">
        <is>
          <t>MAGNUM SlimFit 12 bevestigingsmat 3,75 m² (5 platen 75×100 cm)</t>
        </is>
      </c>
      <c r="B4" s="3" t="inlineStr">
        <is>
          <t>altijd</t>
        </is>
      </c>
      <c r="C4" s="27" t="inlineStr">
        <is>
          <t>Vormt de basislaag waarin je de buizen vastlegt over het hele vloeroppervlak (±30 m²).</t>
        </is>
      </c>
      <c r="D4" s="28" t="inlineStr">
        <is>
          <t>Nee</t>
        </is>
      </c>
      <c r="E4" s="28" t="n"/>
      <c r="F4" s="28" t="n"/>
    </row>
    <row r="5" ht="36" customHeight="1">
      <c r="A5" s="3" t="inlineStr">
        <is>
          <t>MAGNUM PE-RT buis 12×1,5 mm KOMO – rol 300 m</t>
        </is>
      </c>
      <c r="B5" s="3" t="inlineStr">
        <is>
          <t>altijd</t>
        </is>
      </c>
      <c r="C5" s="27" t="inlineStr">
        <is>
          <t>Voert het warme water door de vloer; hiermee leg je de 4 verwarmingscircuits.</t>
        </is>
      </c>
      <c r="D5" s="28" t="inlineStr">
        <is>
          <t>Nee</t>
        </is>
      </c>
      <c r="E5" s="28" t="n"/>
      <c r="F5" s="28" t="n"/>
    </row>
    <row r="6" ht="36" customHeight="1">
      <c r="A6" s="3" t="inlineStr">
        <is>
          <t>MAGNUM Euroconus / adaptor 12×1,5 mm × ¾″ (set van 2)</t>
        </is>
      </c>
      <c r="B6" s="3" t="inlineStr">
        <is>
          <t>altijd</t>
        </is>
      </c>
      <c r="C6" s="27" t="inlineStr">
        <is>
          <t>Nodig om elke groep (aanvoer + retour) waterdicht op de verdeler aan te sluiten.</t>
        </is>
      </c>
      <c r="D6" s="28" t="inlineStr">
        <is>
          <t>Nee</t>
        </is>
      </c>
      <c r="E6" s="28" t="n"/>
      <c r="F6" s="28" t="n"/>
    </row>
    <row r="7" ht="36" customHeight="1">
      <c r="A7" s="3" t="inlineStr">
        <is>
          <t>MAGNUM 90° bochtondersteuning ø10–12 mm (set van 2)</t>
        </is>
      </c>
      <c r="B7" s="3" t="inlineStr">
        <is>
          <t>altijd</t>
        </is>
      </c>
      <c r="C7" s="27" t="inlineStr">
        <is>
          <t>Beschermt de buis waar die vanaf de verdeler de vloer in gaat.</t>
        </is>
      </c>
      <c r="D7" s="28" t="inlineStr">
        <is>
          <t>Nee</t>
        </is>
      </c>
      <c r="E7" s="28" t="n"/>
      <c r="F7" s="28" t="n"/>
    </row>
    <row r="8" ht="36" customHeight="1">
      <c r="A8" s="3" t="inlineStr">
        <is>
          <t>MAGNUM Contactlijm SlimFit / verlegsystemen 500 ml</t>
        </is>
      </c>
      <c r="B8" s="3" t="inlineStr">
        <is>
          <t>altijd</t>
        </is>
      </c>
      <c r="C8" s="27" t="inlineStr">
        <is>
          <t>Houdt de matten vast op de ondervloer tijdens leggen en egaliseren.</t>
        </is>
      </c>
      <c r="D8" s="28" t="inlineStr">
        <is>
          <t>Nee</t>
        </is>
      </c>
      <c r="E8" s="28" t="n"/>
      <c r="F8" s="28" t="n"/>
    </row>
    <row r="9" ht="36" customHeight="1">
      <c r="A9" s="3" t="inlineStr">
        <is>
          <t>Randisolatie 8×150 mm met flap – rol 25 m</t>
        </is>
      </c>
      <c r="B9" s="3" t="inlineStr">
        <is>
          <t>altijd</t>
        </is>
      </c>
      <c r="C9" s="27" t="inlineStr">
        <is>
          <t>Rondom tegen muren: voorkomt koudebruggen en vangt uitzetting op.</t>
        </is>
      </c>
      <c r="D9" s="28" t="inlineStr">
        <is>
          <t>Nee</t>
        </is>
      </c>
      <c r="E9" s="28" t="n"/>
      <c r="F9" s="28" t="n"/>
    </row>
    <row r="10" ht="36" customHeight="1">
      <c r="A10" s="3" t="inlineStr">
        <is>
          <t>Kreisel Gruntolit-W 301 voorstrijk / primer 5 L</t>
        </is>
      </c>
      <c r="B10" s="3" t="inlineStr">
        <is>
          <t>altijd</t>
        </is>
      </c>
      <c r="C10" s="27" t="inlineStr">
        <is>
          <t>Zorgt dat egaline goed hecht; zonder primer kan egaline loslaten.</t>
        </is>
      </c>
      <c r="D10" s="28" t="inlineStr">
        <is>
          <t>Nee</t>
        </is>
      </c>
      <c r="E10" s="28" t="n"/>
      <c r="F10" s="28" t="n"/>
    </row>
    <row r="11" ht="36" customHeight="1">
      <c r="A11" s="3" t="inlineStr">
        <is>
          <t>Kreisel 418 vezelversterkte egaline 25 kg (1–50 mm)</t>
        </is>
      </c>
      <c r="B11" s="3" t="inlineStr">
        <is>
          <t>altijd</t>
        </is>
      </c>
      <c r="C11" s="27" t="inlineStr">
        <is>
          <t>Gietlaag die buizen/matten inbedt tot vlakke vloer klaar voor afwerking.</t>
        </is>
      </c>
      <c r="D11" s="28" t="inlineStr">
        <is>
          <t>Nee</t>
        </is>
      </c>
      <c r="E11" s="28" t="n"/>
      <c r="F11" s="28" t="n"/>
    </row>
    <row r="12" ht="36" customHeight="1">
      <c r="A12" s="3" t="inlineStr">
        <is>
          <t>MAGNUM Basic Staal 4-groeps mengverdeler + A-label pomp</t>
        </is>
      </c>
      <c r="B12" s="3" t="inlineStr">
        <is>
          <t>altijd</t>
        </is>
      </c>
      <c r="C12" s="27" t="inlineStr">
        <is>
          <t>Hart van het systeem: mengt CV-water en verdeelt over de 4 groepen.</t>
        </is>
      </c>
      <c r="D12" s="28" t="inlineStr">
        <is>
          <t>Nee</t>
        </is>
      </c>
      <c r="E12" s="28" t="n"/>
      <c r="F12" s="28" t="n"/>
    </row>
    <row r="13" ht="36" customHeight="1">
      <c r="A13" s="3" t="inlineStr">
        <is>
          <t>Aanvoer + retourleiding vanaf cv (meerlagenbuis 16×2 of koper 15 mm)</t>
        </is>
      </c>
      <c r="B13" s="3" t="inlineStr">
        <is>
          <t>altijd</t>
        </is>
      </c>
      <c r="C13" s="27" t="inlineStr">
        <is>
          <t>Brengt warm water van cv/wp naar de verdeler; lengte hangt af van afstand.</t>
        </is>
      </c>
      <c r="D13" s="28" t="inlineStr">
        <is>
          <t>Nee</t>
        </is>
      </c>
      <c r="E13" s="28" t="n"/>
      <c r="F13" s="28" t="n"/>
    </row>
    <row r="14" ht="36" customHeight="1">
      <c r="A14" s="3" t="inlineStr">
        <is>
          <t>Kogelkranen / koppelingen / verloopstukken (set)</t>
        </is>
      </c>
      <c r="B14" s="3" t="inlineStr">
        <is>
          <t>altijd</t>
        </is>
      </c>
      <c r="C14" s="27" t="inlineStr">
        <is>
          <t>Maakt service mogelijk zonder het hele CV-systeem leeg te laten.</t>
        </is>
      </c>
      <c r="D14" s="28" t="inlineStr">
        <is>
          <t>Nee</t>
        </is>
      </c>
      <c r="E14" s="28" t="n"/>
      <c r="F14" s="28" t="n"/>
    </row>
    <row r="15" ht="36" customHeight="1">
      <c r="A15" s="3" t="inlineStr">
        <is>
          <t>MAGNUM MW-A thermische actuator 230V NC M30×1,5</t>
        </is>
      </c>
      <c r="B15" s="3" t="inlineStr">
        <is>
          <t>altijd</t>
        </is>
      </c>
      <c r="C15" s="27" t="inlineStr">
        <is>
          <t>Opent/sluit per groep de watertoevoer. Nodig bij H64 én bij Tado (per groep).</t>
        </is>
      </c>
      <c r="D15" s="28" t="inlineStr">
        <is>
          <t>Nee</t>
        </is>
      </c>
      <c r="E15" s="28" t="n"/>
      <c r="F15" s="28" t="n"/>
    </row>
    <row r="16" ht="36" customHeight="1">
      <c r="A16" s="3" t="inlineStr">
        <is>
          <t>Elektrakabel 230V / signaalkabel naar regeling + pomp</t>
        </is>
      </c>
      <c r="B16" s="3" t="inlineStr">
        <is>
          <t>altijd</t>
        </is>
      </c>
      <c r="C16" s="27" t="inlineStr">
        <is>
          <t>Voeding en aansturing van pomp, actuators en Tado-ontvangers of H64-unit.</t>
        </is>
      </c>
      <c r="D16" s="28" t="inlineStr">
        <is>
          <t>Nee</t>
        </is>
      </c>
      <c r="E16" s="28" t="n"/>
      <c r="F16" s="28" t="n"/>
    </row>
    <row r="17" ht="36" customHeight="1">
      <c r="A17" s="3" t="inlineStr">
        <is>
          <t>MAGNUM H64-CC regelunit + H64-MT master WiFi-thermostaat</t>
        </is>
      </c>
      <c r="B17" s="3" t="inlineStr">
        <is>
          <t>h64</t>
        </is>
      </c>
      <c r="C17" s="27" t="inlineStr">
        <is>
          <t>Alleen nodig als je KIEST voor Magnum H64 i.p.v. Tado. Stuurt actuators aan.</t>
        </is>
      </c>
      <c r="D17" s="28" t="inlineStr">
        <is>
          <t>Nee</t>
        </is>
      </c>
      <c r="E17" s="28" t="n"/>
      <c r="F17" s="28" t="n"/>
    </row>
    <row r="18" ht="36" customHeight="1">
      <c r="A18" s="3" t="inlineStr">
        <is>
          <t>MAGNUM H64-ST slave / klokthermostaat</t>
        </is>
      </c>
      <c r="B18" s="3" t="inlineStr">
        <is>
          <t>h64</t>
        </is>
      </c>
      <c r="C18" s="27" t="inlineStr">
        <is>
          <t>2e en 3e ruimte bij H64-regeling. Niet nodig bij Tado.</t>
        </is>
      </c>
      <c r="D18" s="28" t="inlineStr">
        <is>
          <t>Nee</t>
        </is>
      </c>
      <c r="E18" s="28" t="n"/>
      <c r="F18" s="28" t="n"/>
    </row>
    <row r="19" ht="36" customHeight="1">
      <c r="A19" s="3" t="inlineStr">
        <is>
          <t>tado° Draadloze Slimme Thermostaat X Starterskit (Ontvanger X + Temperatuursensor X)</t>
        </is>
      </c>
      <c r="B19" s="3" t="inlineStr">
        <is>
          <t>tado_draadloos</t>
        </is>
      </c>
      <c r="C19" s="27" t="inlineStr">
        <is>
          <t>1 set per ruimte → 3 ruimten apart regelen. Ontvanger opent de actuators van die kamer bij warmtevraag.</t>
        </is>
      </c>
      <c r="D19" s="28" t="inlineStr">
        <is>
          <t>Nee</t>
        </is>
      </c>
      <c r="E19" s="28" t="n"/>
      <c r="F19" s="28" t="n"/>
    </row>
    <row r="20" ht="36" customHeight="1">
      <c r="A20" s="3" t="inlineStr">
        <is>
          <t>tado° Slimme Thermostaat X Starterskit bedraad (thermostaat + Bridge X)</t>
        </is>
      </c>
      <c r="B20" s="3" t="inlineStr">
        <is>
          <t>tado_bedraad</t>
        </is>
      </c>
      <c r="C20" s="27" t="inlineStr">
        <is>
          <t>Kamer 1: meet temperatuur én schakelt de actuators van die zone (of ketel, afhankelijk van bekabeling).</t>
        </is>
      </c>
      <c r="D20" s="28" t="inlineStr">
        <is>
          <t>Nee</t>
        </is>
      </c>
      <c r="E20" s="28" t="n"/>
      <c r="F20" s="28" t="n"/>
    </row>
    <row r="21" ht="36" customHeight="1">
      <c r="A21" s="3" t="inlineStr">
        <is>
          <t>tado° Slimme Thermostaat X bedraad (uitbreiding / multi-zone)</t>
        </is>
      </c>
      <c r="B21" s="3" t="inlineStr">
        <is>
          <t>tado_bedraad</t>
        </is>
      </c>
      <c r="C21" s="27" t="inlineStr">
        <is>
          <t>Kamer 2 en 3: elk een eigen thermostaat → 3 ruimten apart. Bedraad naar actuators van die zone.</t>
        </is>
      </c>
      <c r="D21" s="28" t="inlineStr">
        <is>
          <t>Nee</t>
        </is>
      </c>
      <c r="E21" s="28" t="n"/>
      <c r="F21" s="28" t="n"/>
    </row>
    <row r="22" ht="36" customHeight="1">
      <c r="A22" s="3" t="inlineStr">
        <is>
          <t>tado° Bridge X (extra, alleen indien nodig)</t>
        </is>
      </c>
      <c r="B22" s="3" t="inlineStr">
        <is>
          <t>tado_optie</t>
        </is>
      </c>
      <c r="C22" s="27" t="inlineStr">
        <is>
          <t>Alleen extra bestellen bij bereikproblemen of als je bedrade thermostaten zonder starterskit koopt.</t>
        </is>
      </c>
      <c r="D22" s="28" t="inlineStr">
        <is>
          <t>Nee</t>
        </is>
      </c>
      <c r="E22" s="28" t="n"/>
      <c r="F22" s="28" t="n"/>
    </row>
  </sheetData>
  <dataValidations count="1">
    <dataValidation sqref="D4:D22" showDropDown="0" showInputMessage="0" showErrorMessage="0" allowBlank="0" type="list">
      <formula1>"Nee,Ja,Overslaan"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2026-08-22T16:19:25Z</dcterms:created>
  <dcterms:modified xsi:type="dcterms:W3CDTF">2026-08-22T16:19:25Z</dcterms:modified>
</cp:coreProperties>
</file>