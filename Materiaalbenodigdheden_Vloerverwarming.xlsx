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Projectgegevens" sheetId="2" state="visible" r:id="rId2"/>
    <sheet name="Materiaallijst" sheetId="3" state="visible" r:id="rId3"/>
    <sheet name="Ruimteverdeling" sheetId="4" state="visible" r:id="rId4"/>
    <sheet name="Checklist installatie" sheetId="5" state="visible" r:id="rId5"/>
    <sheet name="Vuistregels" sheetId="6" state="visible" r:id="rId6"/>
  </sheets>
  <definedNames>
    <definedName name="_xlnm._FilterDatabase" localSheetId="2" hidden="1">'Materiaallijst'!$A$4:$H$34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9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10"/>
    </font>
    <font>
      <name val="Calibri"/>
      <b val="1"/>
      <color rgb="002874A6"/>
      <sz val="12"/>
    </font>
    <font>
      <name val="Calibri"/>
      <b val="1"/>
      <sz val="11"/>
    </font>
    <font>
      <i val="1"/>
      <color rgb="00666666"/>
      <sz val="9"/>
    </font>
    <font>
      <name val="Calibri"/>
      <b val="1"/>
      <color rgb="00FFFFFF"/>
      <sz val="11"/>
    </font>
    <font>
      <b val="1"/>
      <sz val="12"/>
    </font>
    <font>
      <i val="1"/>
      <color rgb="00666666"/>
      <sz val="10"/>
    </font>
  </fonts>
  <fills count="8">
    <fill>
      <patternFill/>
    </fill>
    <fill>
      <patternFill patternType="gray125"/>
    </fill>
    <fill>
      <patternFill patternType="solid">
        <fgColor rgb="00D4E6F1"/>
      </patternFill>
    </fill>
    <fill>
      <patternFill patternType="solid">
        <fgColor rgb="00FCF3CF"/>
      </patternFill>
    </fill>
    <fill>
      <patternFill patternType="solid">
        <fgColor rgb="00D5F5E3"/>
      </patternFill>
    </fill>
    <fill>
      <patternFill patternType="solid">
        <fgColor rgb="001B4F72"/>
      </patternFill>
    </fill>
    <fill>
      <patternFill patternType="solid">
        <fgColor rgb="00EBF5FB"/>
      </patternFill>
    </fill>
    <fill>
      <patternFill patternType="solid">
        <fgColor rgb="00F9E79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3" fillId="2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4" borderId="1" pivotButton="0" quotePrefix="0" xfId="0"/>
    <xf numFmtId="164" fontId="0" fillId="4" borderId="1" pivotButton="0" quotePrefix="0" xfId="0"/>
    <xf numFmtId="0" fontId="7" fillId="0" borderId="0" pivotButton="0" quotePrefix="0" xfId="0"/>
    <xf numFmtId="164" fontId="7" fillId="7" borderId="1" pivotButton="0" quotePrefix="0" xfId="0"/>
    <xf numFmtId="0" fontId="3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4" fontId="0" fillId="3" borderId="1" pivotButton="0" quotePrefix="0" xfId="0"/>
    <xf numFmtId="0" fontId="5" fillId="0" borderId="0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0" fillId="6" borderId="1" pivotButton="0" quotePrefix="0" xfId="0"/>
    <xf numFmtId="164" fontId="4" fillId="7" borderId="1" pivotButton="0" quotePrefix="0" xfId="0"/>
    <xf numFmtId="0" fontId="8" fillId="0" borderId="0" pivotButton="0" quotePrefix="0" xfId="0"/>
    <xf numFmtId="4" fontId="4" fillId="7" borderId="1" pivotButton="0" quotePrefix="0" xfId="0"/>
    <xf numFmtId="0" fontId="4" fillId="7" borderId="1" pivotButton="0" quotePrefix="0" xfId="0"/>
    <xf numFmtId="0" fontId="6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2" customWidth="1" min="3" max="3"/>
  </cols>
  <sheetData>
    <row r="1">
      <c r="A1" s="1" t="inlineStr">
        <is>
          <t>Samenvatting materiaalraming vloerverwarming</t>
        </is>
      </c>
    </row>
    <row r="3">
      <c r="A3" s="2" t="inlineStr">
        <is>
          <t>Project</t>
        </is>
      </c>
      <c r="B3" s="3">
        <f>Projectgegevens!B5</f>
        <v/>
      </c>
    </row>
    <row r="4">
      <c r="A4" s="2" t="inlineStr">
        <is>
          <t>Oppervlak</t>
        </is>
      </c>
      <c r="B4" s="3">
        <f>Projectgegevens!B11&amp;" m²"</f>
        <v/>
      </c>
    </row>
    <row r="5">
      <c r="A5" s="2" t="inlineStr">
        <is>
          <t>Systeem</t>
        </is>
      </c>
      <c r="B5" s="3">
        <f>Projectgegevens!B18&amp;" · "&amp;Projectgegevens!B17&amp;" · h.o.h. "&amp;Projectgegevens!B16&amp;" cm"</f>
        <v/>
      </c>
    </row>
    <row r="7">
      <c r="A7" s="4" t="inlineStr">
        <is>
          <t>KERNHOEVEELHEDEN</t>
        </is>
      </c>
    </row>
    <row r="8">
      <c r="A8" s="5" t="inlineStr">
        <is>
          <t>Omschrijving</t>
        </is>
      </c>
      <c r="B8" s="5" t="inlineStr">
        <is>
          <t>Hoeveelheid</t>
        </is>
      </c>
      <c r="C8" s="5" t="inlineStr">
        <is>
          <t>Eenheid</t>
        </is>
      </c>
    </row>
    <row r="9">
      <c r="A9" s="6" t="inlineStr">
        <is>
          <t>Buislengte</t>
        </is>
      </c>
      <c r="B9" s="7">
        <f>Projectgegevens!B32</f>
        <v/>
      </c>
      <c r="C9" s="6" t="inlineStr">
        <is>
          <t>m</t>
        </is>
      </c>
    </row>
    <row r="10">
      <c r="A10" s="6" t="inlineStr">
        <is>
          <t>Aantal groepen</t>
        </is>
      </c>
      <c r="B10" s="7">
        <f>Projectgegevens!B12</f>
        <v/>
      </c>
      <c r="C10" s="6" t="inlineStr">
        <is>
          <t>st</t>
        </is>
      </c>
    </row>
    <row r="11">
      <c r="A11" s="6" t="inlineStr">
        <is>
          <t>Isolatieplaten</t>
        </is>
      </c>
      <c r="B11" s="7">
        <f>ROUND(Projectgegevens!B11*1.05,1)</f>
        <v/>
      </c>
      <c r="C11" s="6" t="inlineStr">
        <is>
          <t>m²</t>
        </is>
      </c>
    </row>
    <row r="12">
      <c r="A12" s="6" t="inlineStr">
        <is>
          <t>Randisolatie</t>
        </is>
      </c>
      <c r="B12" s="7">
        <f>Projectgegevens!B20</f>
        <v/>
      </c>
      <c r="C12" s="6" t="inlineStr">
        <is>
          <t>m</t>
        </is>
      </c>
    </row>
    <row r="13">
      <c r="A13" s="6" t="inlineStr">
        <is>
          <t>Verdeler</t>
        </is>
      </c>
      <c r="B13" s="7" t="n">
        <v>1</v>
      </c>
      <c r="C13" s="6" t="inlineStr">
        <is>
          <t>st</t>
        </is>
      </c>
    </row>
    <row r="14">
      <c r="A14" s="6" t="inlineStr">
        <is>
          <t>Ruimtethermostaten</t>
        </is>
      </c>
      <c r="B14" s="7">
        <f>Projectgegevens!B24</f>
        <v/>
      </c>
      <c r="C14" s="6" t="inlineStr">
        <is>
          <t>st</t>
        </is>
      </c>
    </row>
    <row r="15">
      <c r="A15" s="6" t="inlineStr">
        <is>
          <t>Zone-actuatoren</t>
        </is>
      </c>
      <c r="B15" s="7">
        <f>Projectgegevens!B25</f>
        <v/>
      </c>
      <c r="C15" s="6" t="inlineStr">
        <is>
          <t>st</t>
        </is>
      </c>
    </row>
    <row r="17">
      <c r="A17" s="4" t="inlineStr">
        <is>
          <t>KOSTENRAMING</t>
        </is>
      </c>
    </row>
    <row r="18">
      <c r="A18" s="2" t="inlineStr">
        <is>
          <t>Materiaal excl. BTW</t>
        </is>
      </c>
      <c r="B18" s="8">
        <f>Materiaallijst!F36</f>
        <v/>
      </c>
    </row>
    <row r="19">
      <c r="A19" s="2" t="inlineStr">
        <is>
          <t>BTW</t>
        </is>
      </c>
      <c r="B19" s="8">
        <f>Materiaallijst!F37</f>
        <v/>
      </c>
    </row>
    <row r="20">
      <c r="A20" s="9" t="inlineStr">
        <is>
          <t>Materiaal incl. BTW</t>
        </is>
      </c>
      <c r="B20" s="10">
        <f>Materiaallijst!F38</f>
        <v/>
      </c>
    </row>
    <row r="21">
      <c r="A21" s="2" t="inlineStr">
        <is>
          <t>Per m² excl. BTW</t>
        </is>
      </c>
      <c r="B21" s="8">
        <f>Materiaallijst!B40</f>
        <v/>
      </c>
    </row>
    <row r="23">
      <c r="A23" s="11" t="inlineStr">
        <is>
          <t>Tabbladen</t>
        </is>
      </c>
    </row>
    <row r="24">
      <c r="A24" t="inlineStr">
        <is>
          <t>1. Projectgegevens — vul gele velden in (oppervlak, groepen, buisafstand)</t>
        </is>
      </c>
    </row>
    <row r="25">
      <c r="A25" t="inlineStr">
        <is>
          <t>2. Materiaallijst — complete shoppinglijst met hoeveelheden en prijsraming</t>
        </is>
      </c>
    </row>
    <row r="26">
      <c r="A26" t="inlineStr">
        <is>
          <t>3. Ruimteverdeling — optioneel uitsplitsen per kamer</t>
        </is>
      </c>
    </row>
    <row r="27">
      <c r="A27" t="inlineStr">
        <is>
          <t>4. Checklist installatie — kwaliteitscontrole tijdens uitvoering</t>
        </is>
      </c>
    </row>
    <row r="28">
      <c r="A28" t="inlineStr">
        <is>
          <t>5. Vuistregels — snelle rekenhulp en aandachtspunten</t>
        </is>
      </c>
    </row>
  </sheetData>
  <mergeCells count="3">
    <mergeCell ref="A1:C1"/>
    <mergeCell ref="A7:C7"/>
    <mergeCell ref="A17:C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2" customWidth="1" min="1" max="1"/>
    <col width="36" customWidth="1" min="2" max="2"/>
    <col width="52" customWidth="1" min="3" max="3"/>
    <col width="20" customWidth="1" min="4" max="4"/>
  </cols>
  <sheetData>
    <row r="1" ht="24" customHeight="1">
      <c r="A1" s="1" t="inlineStr">
        <is>
          <t>Materiaalbenodigdheden vloerverwarming</t>
        </is>
      </c>
    </row>
    <row r="2">
      <c r="A2" s="12" t="inlineStr">
        <is>
          <t>Vul de gele velden in. De hoeveelheden op de andere tabbladen worden automatisch berekend.</t>
        </is>
      </c>
    </row>
    <row r="4">
      <c r="A4" s="4" t="inlineStr">
        <is>
          <t>PROJECT</t>
        </is>
      </c>
    </row>
    <row r="5">
      <c r="A5" s="2" t="inlineStr">
        <is>
          <t>Projectnaam</t>
        </is>
      </c>
      <c r="B5" s="13" t="inlineStr">
        <is>
          <t>Nieuwbouw / renovatie woonhuis</t>
        </is>
      </c>
    </row>
    <row r="6">
      <c r="A6" s="2" t="inlineStr">
        <is>
          <t>Adres / locatie</t>
        </is>
      </c>
      <c r="B6" s="13" t="inlineStr"/>
    </row>
    <row r="7">
      <c r="A7" s="2" t="inlineStr">
        <is>
          <t>Datum</t>
        </is>
      </c>
      <c r="B7" s="13" t="inlineStr">
        <is>
          <t>2026-08-22</t>
        </is>
      </c>
    </row>
    <row r="8">
      <c r="A8" s="2" t="inlineStr">
        <is>
          <t>Opgesteld door</t>
        </is>
      </c>
      <c r="B8" s="13" t="inlineStr"/>
    </row>
    <row r="10">
      <c r="A10" s="4" t="inlineStr">
        <is>
          <t>OPPERVLAKTE &amp; RUIMTES</t>
        </is>
      </c>
    </row>
    <row r="11">
      <c r="A11" s="2" t="inlineStr">
        <is>
          <t>Totaal verwarmd vloeroppervlak (m²)</t>
        </is>
      </c>
      <c r="B11" s="14" t="n">
        <v>80</v>
      </c>
      <c r="C11" s="15" t="inlineStr">
        <is>
          <t>← hoofdinvoer voor berekeningen</t>
        </is>
      </c>
    </row>
    <row r="12">
      <c r="A12" s="2" t="inlineStr">
        <is>
          <t>Aantal groepen / circuits</t>
        </is>
      </c>
      <c r="B12" s="13" t="n">
        <v>6</v>
      </c>
      <c r="C12" s="15" t="inlineStr">
        <is>
          <t>Vuistregel: ±1 groep per 10–15 m²</t>
        </is>
      </c>
    </row>
    <row r="13">
      <c r="A13" s="2" t="inlineStr">
        <is>
          <t>Gemiddelde groeplengte (m)</t>
        </is>
      </c>
      <c r="B13" s="3">
        <f>ROUND(B11*B16/B12,0)</f>
        <v/>
      </c>
      <c r="C13" s="15" t="inlineStr">
        <is>
          <t>Automatisch (max. ca. 100–120 m per groep)</t>
        </is>
      </c>
    </row>
    <row r="15">
      <c r="A15" s="4" t="inlineStr">
        <is>
          <t>SYSTEEMKEUZE</t>
        </is>
      </c>
    </row>
    <row r="16">
      <c r="A16" s="2" t="inlineStr">
        <is>
          <t>Buisafstand / hart-op-hart (cm)</t>
        </is>
      </c>
      <c r="B16" s="13" t="n">
        <v>15</v>
      </c>
      <c r="C16" s="15" t="inlineStr">
        <is>
          <t>10 = hoog vermogen, 15 = standaard, 20 = lage warmtevraag</t>
        </is>
      </c>
    </row>
    <row r="17">
      <c r="A17" s="2" t="inlineStr">
        <is>
          <t>Buistype</t>
        </is>
      </c>
      <c r="B17" s="13" t="inlineStr">
        <is>
          <t>PE-RT 16×2 mm</t>
        </is>
      </c>
    </row>
    <row r="18">
      <c r="A18" s="2" t="inlineStr">
        <is>
          <t>Montagesysteem</t>
        </is>
      </c>
      <c r="B18" s="13" t="inlineStr">
        <is>
          <t>Noppenplaat</t>
        </is>
      </c>
    </row>
    <row r="19">
      <c r="A19" s="2" t="inlineStr">
        <is>
          <t>Isolatiedikte (mm)</t>
        </is>
      </c>
      <c r="B19" s="13" t="n">
        <v>30</v>
      </c>
      <c r="C19" s="15" t="inlineStr">
        <is>
          <t>Nieuwbouw vaak ≥30 mm; renovatie afhankelijk van opbouw</t>
        </is>
      </c>
    </row>
    <row r="20">
      <c r="A20" s="2" t="inlineStr">
        <is>
          <t>Randisolatie omtrek (m)</t>
        </is>
      </c>
      <c r="B20" s="13" t="n">
        <v>40</v>
      </c>
      <c r="C20" s="15" t="inlineStr">
        <is>
          <t>Omtrek van alle te verwarmen ruimtes</t>
        </is>
      </c>
    </row>
    <row r="22">
      <c r="A22" s="4" t="inlineStr">
        <is>
          <t>VERDELER &amp; REGELING</t>
        </is>
      </c>
    </row>
    <row r="23">
      <c r="A23" s="2" t="inlineStr">
        <is>
          <t>Type verdeler</t>
        </is>
      </c>
      <c r="B23" s="13" t="inlineStr">
        <is>
          <t>RVS met pomp + thermostaatkraan</t>
        </is>
      </c>
    </row>
    <row r="24">
      <c r="A24" s="2" t="inlineStr">
        <is>
          <t>Aantal ruimterermostaten</t>
        </is>
      </c>
      <c r="B24" s="13" t="n">
        <v>4</v>
      </c>
    </row>
    <row r="25">
      <c r="A25" s="2" t="inlineStr">
        <is>
          <t>Aantal zone-actuatoren (servo's)</t>
        </is>
      </c>
      <c r="B25" s="3">
        <f>B12</f>
        <v/>
      </c>
      <c r="C25" s="15" t="inlineStr">
        <is>
          <t>Standaard 1 per groep</t>
        </is>
      </c>
    </row>
    <row r="27">
      <c r="A27" s="4" t="inlineStr">
        <is>
          <t>PRIJSASSUMPTIES (optioneel)</t>
        </is>
      </c>
    </row>
    <row r="28">
      <c r="A28" s="2" t="inlineStr">
        <is>
          <t>BTW-tarief</t>
        </is>
      </c>
      <c r="B28" s="16" t="n">
        <v>0.21</v>
      </c>
    </row>
    <row r="29">
      <c r="A29" s="2" t="inlineStr">
        <is>
          <t>Materiaalmarge / snijverlies buis</t>
        </is>
      </c>
      <c r="B29" s="16" t="n">
        <v>0.1</v>
      </c>
      <c r="C29" s="15" t="inlineStr">
        <is>
          <t>Extra % op buislengte</t>
        </is>
      </c>
    </row>
    <row r="31">
      <c r="A31" s="4" t="inlineStr">
        <is>
          <t>BEREKEND OVERZICHT</t>
        </is>
      </c>
    </row>
    <row r="32">
      <c r="A32" s="2" t="inlineStr">
        <is>
          <t>Benodigde buislengte (m)</t>
        </is>
      </c>
      <c r="B32" s="7">
        <f>ROUND(B11*(100/B16)*(1+B29),0)</f>
        <v/>
      </c>
    </row>
    <row r="33">
      <c r="A33" s="2" t="inlineStr">
        <is>
          <t>Buis per m² (m/m²)</t>
        </is>
      </c>
      <c r="B33" s="3">
        <f>ROUND(100/B16,2)</f>
        <v/>
      </c>
    </row>
    <row r="35">
      <c r="A35" s="11" t="inlineStr">
        <is>
          <t>Toelichting</t>
        </is>
      </c>
    </row>
    <row r="36" ht="70" customHeight="1">
      <c r="A36" s="17" t="inlineStr">
        <is>
          <t>Dit werkboek is een ramingshulp voor materiaalhoeveelheden bij natte vloerverwarming (dekvloer). Gele cellen = invoer. Groene cellen = berekend. Pas hoeveelheden en eenheidsprijzen op tabblad 'Materiaallijst' aan op basis van leveranciersoffertes. Controleer altijd lokale bouwvoorschriften, isolatie-eisen (Rc) en de specificaties van de warmtebron (cv-ketel / warmtepomp).</t>
        </is>
      </c>
    </row>
    <row r="37"/>
    <row r="38"/>
    <row r="39"/>
    <row r="40"/>
  </sheetData>
  <mergeCells count="9">
    <mergeCell ref="A4:B4"/>
    <mergeCell ref="A1:D1"/>
    <mergeCell ref="A36:D40"/>
    <mergeCell ref="A15:B15"/>
    <mergeCell ref="A10:B10"/>
    <mergeCell ref="A2:D2"/>
    <mergeCell ref="A27:B27"/>
    <mergeCell ref="A31:B31"/>
    <mergeCell ref="A22:B22"/>
  </mergeCells>
  <dataValidations count="3">
    <dataValidation sqref="B17" showDropDown="0" showInputMessage="0" showErrorMessage="0" allowBlank="0" type="list">
      <formula1>"PE-RT 16×2 mm,PEX-a 16×2 mm,Alu-PEX 16×2 mm,PE-RT 20×2 mm"</formula1>
    </dataValidation>
    <dataValidation sqref="B18" showDropDown="0" showInputMessage="0" showErrorMessage="0" allowBlank="0" type="list">
      <formula1>"Noppenplaat,Tackerplaat (clips),Rail/beugel,Droogbouw"</formula1>
    </dataValidation>
    <dataValidation sqref="B23" showDropDown="0" showInputMessage="0" showErrorMessage="0" allowBlank="0" type="list">
      <formula1>"RVS met pomp + thermostaatkraan,Kunststof met pomp,LT-verdeler (warmtepomp),Verdeler zonder pomp"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0" customWidth="1" min="3" max="3"/>
    <col width="14" customWidth="1" min="4" max="4"/>
    <col width="16" customWidth="1" min="5" max="5"/>
    <col width="18" customWidth="1" min="6" max="6"/>
    <col width="40" customWidth="1" min="7" max="7"/>
    <col width="10" customWidth="1" min="8" max="8"/>
  </cols>
  <sheetData>
    <row r="1">
      <c r="A1" s="1" t="inlineStr">
        <is>
          <t>Materiaallijst vloerverwarming</t>
        </is>
      </c>
    </row>
    <row r="2">
      <c r="A2" s="12" t="inlineStr">
        <is>
          <t>Hoeveelheden zijn gekoppeld aan Projectgegevens. Pas eenheidsprijzen aan naar actuele leveranciersprijzen.</t>
        </is>
      </c>
    </row>
    <row r="4" ht="30" customHeight="1">
      <c r="A4" s="5" t="inlineStr">
        <is>
          <t>Categorie</t>
        </is>
      </c>
      <c r="B4" s="5" t="inlineStr">
        <is>
          <t>Artikel / omschrijving</t>
        </is>
      </c>
      <c r="C4" s="5" t="inlineStr">
        <is>
          <t>Eenheid</t>
        </is>
      </c>
      <c r="D4" s="5" t="inlineStr">
        <is>
          <t>Hoeveelheid</t>
        </is>
      </c>
      <c r="E4" s="5" t="inlineStr">
        <is>
          <t>Eenheidsprijs (€)</t>
        </is>
      </c>
      <c r="F4" s="5" t="inlineStr">
        <is>
          <t>Totaal excl. BTW (€)</t>
        </is>
      </c>
      <c r="G4" s="5" t="inlineStr">
        <is>
          <t>Leverancier / notitie</t>
        </is>
      </c>
      <c r="H4" s="5" t="inlineStr">
        <is>
          <t>Besteld</t>
        </is>
      </c>
    </row>
    <row r="5">
      <c r="A5" s="6" t="inlineStr">
        <is>
          <t>Isolatie &amp; vloeropbouw</t>
        </is>
      </c>
      <c r="B5" s="6" t="inlineStr">
        <is>
          <t>Vloerisolatie / noppen- of tackerplaat</t>
        </is>
      </c>
      <c r="C5" s="18" t="inlineStr">
        <is>
          <t>m²</t>
        </is>
      </c>
      <c r="D5" s="7">
        <f>ROUND(Projectgegevens!B11*1.05,1)</f>
        <v/>
      </c>
      <c r="E5" s="19" t="n">
        <v>18.5</v>
      </c>
      <c r="F5" s="8">
        <f>D5*E5</f>
        <v/>
      </c>
      <c r="G5" s="6" t="inlineStr">
        <is>
          <t>incl. 5% snijverlies</t>
        </is>
      </c>
      <c r="H5" s="13" t="inlineStr">
        <is>
          <t>Nee</t>
        </is>
      </c>
    </row>
    <row r="6">
      <c r="A6" s="20" t="inlineStr">
        <is>
          <t>Isolatie &amp; vloeropbouw</t>
        </is>
      </c>
      <c r="B6" s="20" t="inlineStr">
        <is>
          <t>Randisolatie / randstrook</t>
        </is>
      </c>
      <c r="C6" s="18" t="inlineStr">
        <is>
          <t>m</t>
        </is>
      </c>
      <c r="D6" s="7">
        <f>Projectgegevens!B20</f>
        <v/>
      </c>
      <c r="E6" s="19" t="n">
        <v>1.8</v>
      </c>
      <c r="F6" s="8">
        <f>D6*E6</f>
        <v/>
      </c>
      <c r="G6" s="6" t="inlineStr">
        <is>
          <t>min. 8–10 mm dik</t>
        </is>
      </c>
      <c r="H6" s="13" t="inlineStr">
        <is>
          <t>Nee</t>
        </is>
      </c>
    </row>
    <row r="7">
      <c r="A7" s="6" t="inlineStr">
        <is>
          <t>Isolatie &amp; vloeropbouw</t>
        </is>
      </c>
      <c r="B7" s="6" t="inlineStr">
        <is>
          <t>Dampfolie / PE-folie (indien nodig)</t>
        </is>
      </c>
      <c r="C7" s="18" t="inlineStr">
        <is>
          <t>m²</t>
        </is>
      </c>
      <c r="D7" s="7">
        <f>ROUND(Projectgegevens!B11*1.1,1)</f>
        <v/>
      </c>
      <c r="E7" s="19" t="n">
        <v>0.9</v>
      </c>
      <c r="F7" s="8">
        <f>D7*E7</f>
        <v/>
      </c>
      <c r="G7" s="6" t="inlineStr">
        <is>
          <t>onder of boven isolatie cf. opbouw</t>
        </is>
      </c>
      <c r="H7" s="13" t="inlineStr">
        <is>
          <t>Nee</t>
        </is>
      </c>
    </row>
    <row r="8">
      <c r="A8" s="20" t="inlineStr">
        <is>
          <t>Isolatie &amp; vloeropbouw</t>
        </is>
      </c>
      <c r="B8" s="20" t="inlineStr">
        <is>
          <t>Wapeningsnet (indien voorgeschreven)</t>
        </is>
      </c>
      <c r="C8" s="18" t="inlineStr">
        <is>
          <t>m²</t>
        </is>
      </c>
      <c r="D8" s="7">
        <f>Projectgegevens!B11</f>
        <v/>
      </c>
      <c r="E8" s="19" t="n">
        <v>3.5</v>
      </c>
      <c r="F8" s="8">
        <f>D8*E8</f>
        <v/>
      </c>
      <c r="G8" s="6" t="inlineStr">
        <is>
          <t>optioneel bij dekvloer</t>
        </is>
      </c>
      <c r="H8" s="13" t="inlineStr">
        <is>
          <t>Nee</t>
        </is>
      </c>
    </row>
    <row r="9">
      <c r="A9" s="6" t="inlineStr">
        <is>
          <t>Isolatie &amp; vloeropbouw</t>
        </is>
      </c>
      <c r="B9" s="6" t="inlineStr">
        <is>
          <t>Dilatatieprofiel / uitzetvoeg</t>
        </is>
      </c>
      <c r="C9" s="18" t="inlineStr">
        <is>
          <t>m</t>
        </is>
      </c>
      <c r="D9" s="14" t="n">
        <v>8</v>
      </c>
      <c r="E9" s="19" t="n">
        <v>4.5</v>
      </c>
      <c r="F9" s="8">
        <f>D9*E9</f>
        <v/>
      </c>
      <c r="G9" s="6" t="inlineStr">
        <is>
          <t>bij grote vlakken / deuropeningen</t>
        </is>
      </c>
      <c r="H9" s="13" t="inlineStr">
        <is>
          <t>Nee</t>
        </is>
      </c>
    </row>
    <row r="10">
      <c r="A10" s="20" t="inlineStr">
        <is>
          <t>Verwarmingsbuis</t>
        </is>
      </c>
      <c r="B10" s="20" t="inlineStr">
        <is>
          <t>Vloerverwarmingsbuis (cf. Projectgegevens B17)</t>
        </is>
      </c>
      <c r="C10" s="18" t="inlineStr">
        <is>
          <t>m</t>
        </is>
      </c>
      <c r="D10" s="7">
        <f>Projectgegevens!B32</f>
        <v/>
      </c>
      <c r="E10" s="19" t="n">
        <v>1.25</v>
      </c>
      <c r="F10" s="8">
        <f>D10*E10</f>
        <v/>
      </c>
      <c r="G10" s="6" t="inlineStr">
        <is>
          <t>rol van 200/500/600 m</t>
        </is>
      </c>
      <c r="H10" s="13" t="inlineStr">
        <is>
          <t>Nee</t>
        </is>
      </c>
    </row>
    <row r="11">
      <c r="A11" s="6" t="inlineStr">
        <is>
          <t>Verwarmingsbuis</t>
        </is>
      </c>
      <c r="B11" s="6" t="inlineStr">
        <is>
          <t>Buiskoppelingen / knelkoppelingen naar verdeler</t>
        </is>
      </c>
      <c r="C11" s="18" t="inlineStr">
        <is>
          <t>st</t>
        </is>
      </c>
      <c r="D11" s="7">
        <f>Projectgegevens!B12*2</f>
        <v/>
      </c>
      <c r="E11" s="19" t="n">
        <v>4.5</v>
      </c>
      <c r="F11" s="8">
        <f>D11*E11</f>
        <v/>
      </c>
      <c r="G11" s="6" t="inlineStr">
        <is>
          <t>aanvoer + retour per groep</t>
        </is>
      </c>
      <c r="H11" s="13" t="inlineStr">
        <is>
          <t>Nee</t>
        </is>
      </c>
    </row>
    <row r="12">
      <c r="A12" s="20" t="inlineStr">
        <is>
          <t>Verwarmingsbuis</t>
        </is>
      </c>
      <c r="B12" s="20" t="inlineStr">
        <is>
          <t>Buisgeleiding / bochtsteunen</t>
        </is>
      </c>
      <c r="C12" s="18" t="inlineStr">
        <is>
          <t>st</t>
        </is>
      </c>
      <c r="D12" s="7">
        <f>Projectgegevens!B12*4</f>
        <v/>
      </c>
      <c r="E12" s="19" t="n">
        <v>1.2</v>
      </c>
      <c r="F12" s="8">
        <f>D12*E12</f>
        <v/>
      </c>
      <c r="G12" s="6" t="inlineStr">
        <is>
          <t>bij opgang naar verdeler</t>
        </is>
      </c>
      <c r="H12" s="13" t="inlineStr">
        <is>
          <t>Nee</t>
        </is>
      </c>
    </row>
    <row r="13">
      <c r="A13" s="6" t="inlineStr">
        <is>
          <t>Verwarmingsbuis</t>
        </is>
      </c>
      <c r="B13" s="6" t="inlineStr">
        <is>
          <t>Tackerclips of railclips (indien tacker/rail)</t>
        </is>
      </c>
      <c r="C13" s="18" t="inlineStr">
        <is>
          <t>st</t>
        </is>
      </c>
      <c r="D13" s="7">
        <f>ROUND(Projectgegevens!B32/0.5,0)</f>
        <v/>
      </c>
      <c r="E13" s="19" t="n">
        <v>0.12</v>
      </c>
      <c r="F13" s="8">
        <f>D13*E13</f>
        <v/>
      </c>
      <c r="G13" s="6" t="inlineStr">
        <is>
          <t>ca. 2 clips per meter buis</t>
        </is>
      </c>
      <c r="H13" s="13" t="inlineStr">
        <is>
          <t>Nee</t>
        </is>
      </c>
    </row>
    <row r="14">
      <c r="A14" s="20" t="inlineStr">
        <is>
          <t>Verdeler &amp; hydrauliek</t>
        </is>
      </c>
      <c r="B14" s="20" t="inlineStr">
        <is>
          <t>Vloerverwarmingsverdeler (aantal groepen)</t>
        </is>
      </c>
      <c r="C14" s="18" t="inlineStr">
        <is>
          <t>st</t>
        </is>
      </c>
      <c r="D14" s="14" t="n">
        <v>1</v>
      </c>
      <c r="E14" s="19" t="n">
        <v>285</v>
      </c>
      <c r="F14" s="8">
        <f>D14*E14</f>
        <v/>
      </c>
      <c r="G14" s="6" t="inlineStr">
        <is>
          <t>afstemmen op B12 groepen</t>
        </is>
      </c>
      <c r="H14" s="13" t="inlineStr">
        <is>
          <t>Nee</t>
        </is>
      </c>
    </row>
    <row r="15">
      <c r="A15" s="6" t="inlineStr">
        <is>
          <t>Verdeler &amp; hydrauliek</t>
        </is>
      </c>
      <c r="B15" s="6" t="inlineStr">
        <is>
          <t>Circulatiepomp (indien niet inbegrepen)</t>
        </is>
      </c>
      <c r="C15" s="18" t="inlineStr">
        <is>
          <t>st</t>
        </is>
      </c>
      <c r="D15" s="14" t="n">
        <v>1</v>
      </c>
      <c r="E15" s="19" t="n">
        <v>120</v>
      </c>
      <c r="F15" s="8">
        <f>D15*E15</f>
        <v/>
      </c>
      <c r="G15" s="6" t="inlineStr">
        <is>
          <t>vaak geïntegreerd</t>
        </is>
      </c>
      <c r="H15" s="13" t="inlineStr">
        <is>
          <t>Nee</t>
        </is>
      </c>
    </row>
    <row r="16">
      <c r="A16" s="20" t="inlineStr">
        <is>
          <t>Verdeler &amp; hydrauliek</t>
        </is>
      </c>
      <c r="B16" s="20" t="inlineStr">
        <is>
          <t>Thermostatische mengkraan / mengunit</t>
        </is>
      </c>
      <c r="C16" s="18" t="inlineStr">
        <is>
          <t>st</t>
        </is>
      </c>
      <c r="D16" s="14" t="n">
        <v>1</v>
      </c>
      <c r="E16" s="19" t="n">
        <v>95</v>
      </c>
      <c r="F16" s="8">
        <f>D16*E16</f>
        <v/>
      </c>
      <c r="G16" s="6" t="inlineStr">
        <is>
          <t>bij HT-bron; bij WP vaak LT-verdeler</t>
        </is>
      </c>
      <c r="H16" s="13" t="inlineStr">
        <is>
          <t>Nee</t>
        </is>
      </c>
    </row>
    <row r="17">
      <c r="A17" s="6" t="inlineStr">
        <is>
          <t>Verdeler &amp; hydrauliek</t>
        </is>
      </c>
      <c r="B17" s="6" t="inlineStr">
        <is>
          <t>Debietmeters / inregelventielen</t>
        </is>
      </c>
      <c r="C17" s="18" t="inlineStr">
        <is>
          <t>st</t>
        </is>
      </c>
      <c r="D17" s="7">
        <f>Projectgegevens!B12</f>
        <v/>
      </c>
      <c r="E17" s="19" t="n">
        <v>0</v>
      </c>
      <c r="F17" s="8">
        <f>D17*E17</f>
        <v/>
      </c>
      <c r="G17" s="6" t="inlineStr">
        <is>
          <t>meestal in verdeler inbegrepen</t>
        </is>
      </c>
      <c r="H17" s="13" t="inlineStr">
        <is>
          <t>Nee</t>
        </is>
      </c>
    </row>
    <row r="18">
      <c r="A18" s="20" t="inlineStr">
        <is>
          <t>Verdeler &amp; hydrauliek</t>
        </is>
      </c>
      <c r="B18" s="20" t="inlineStr">
        <is>
          <t>Automatische ontluchter</t>
        </is>
      </c>
      <c r="C18" s="18" t="inlineStr">
        <is>
          <t>st</t>
        </is>
      </c>
      <c r="D18" s="14" t="n">
        <v>1</v>
      </c>
      <c r="E18" s="19" t="n">
        <v>18</v>
      </c>
      <c r="F18" s="8">
        <f>D18*E18</f>
        <v/>
      </c>
      <c r="G18" s="6" t="inlineStr"/>
      <c r="H18" s="13" t="inlineStr">
        <is>
          <t>Nee</t>
        </is>
      </c>
    </row>
    <row r="19">
      <c r="A19" s="6" t="inlineStr">
        <is>
          <t>Verdeler &amp; hydrauliek</t>
        </is>
      </c>
      <c r="B19" s="6" t="inlineStr">
        <is>
          <t>Vul-/aftapkraan set</t>
        </is>
      </c>
      <c r="C19" s="18" t="inlineStr">
        <is>
          <t>st</t>
        </is>
      </c>
      <c r="D19" s="14" t="n">
        <v>1</v>
      </c>
      <c r="E19" s="19" t="n">
        <v>22</v>
      </c>
      <c r="F19" s="8">
        <f>D19*E19</f>
        <v/>
      </c>
      <c r="G19" s="6" t="inlineStr"/>
      <c r="H19" s="13" t="inlineStr">
        <is>
          <t>Nee</t>
        </is>
      </c>
    </row>
    <row r="20">
      <c r="A20" s="20" t="inlineStr">
        <is>
          <t>Verdeler &amp; hydrauliek</t>
        </is>
      </c>
      <c r="B20" s="20" t="inlineStr">
        <is>
          <t>Manometer</t>
        </is>
      </c>
      <c r="C20" s="18" t="inlineStr">
        <is>
          <t>st</t>
        </is>
      </c>
      <c r="D20" s="14" t="n">
        <v>1</v>
      </c>
      <c r="E20" s="19" t="n">
        <v>15</v>
      </c>
      <c r="F20" s="8">
        <f>D20*E20</f>
        <v/>
      </c>
      <c r="G20" s="6" t="inlineStr"/>
      <c r="H20" s="13" t="inlineStr">
        <is>
          <t>Nee</t>
        </is>
      </c>
    </row>
    <row r="21">
      <c r="A21" s="6" t="inlineStr">
        <is>
          <t>Verdeler &amp; hydrauliek</t>
        </is>
      </c>
      <c r="B21" s="6" t="inlineStr">
        <is>
          <t>Aansluitleidingen verdeler (aanvoer/retour)</t>
        </is>
      </c>
      <c r="C21" s="18" t="inlineStr">
        <is>
          <t>m</t>
        </is>
      </c>
      <c r="D21" s="14" t="n">
        <v>6</v>
      </c>
      <c r="E21" s="19" t="n">
        <v>8.5</v>
      </c>
      <c r="F21" s="8">
        <f>D21*E21</f>
        <v/>
      </c>
      <c r="G21" s="6" t="inlineStr">
        <is>
          <t>naar cv/wp-bron</t>
        </is>
      </c>
      <c r="H21" s="13" t="inlineStr">
        <is>
          <t>Nee</t>
        </is>
      </c>
    </row>
    <row r="22">
      <c r="A22" s="20" t="inlineStr">
        <is>
          <t>Verdeler &amp; hydrauliek</t>
        </is>
      </c>
      <c r="B22" s="20" t="inlineStr">
        <is>
          <t>Kogelafsluiters / servicekranen</t>
        </is>
      </c>
      <c r="C22" s="18" t="inlineStr">
        <is>
          <t>st</t>
        </is>
      </c>
      <c r="D22" s="14" t="n">
        <v>2</v>
      </c>
      <c r="E22" s="19" t="n">
        <v>12</v>
      </c>
      <c r="F22" s="8">
        <f>D22*E22</f>
        <v/>
      </c>
      <c r="G22" s="6" t="inlineStr">
        <is>
          <t>aanvoer + retour</t>
        </is>
      </c>
      <c r="H22" s="13" t="inlineStr">
        <is>
          <t>Nee</t>
        </is>
      </c>
    </row>
    <row r="23">
      <c r="A23" s="6" t="inlineStr">
        <is>
          <t>Verdeler &amp; hydrauliek</t>
        </is>
      </c>
      <c r="B23" s="6" t="inlineStr">
        <is>
          <t>Verdelerkast (inbouw of opbouw)</t>
        </is>
      </c>
      <c r="C23" s="18" t="inlineStr">
        <is>
          <t>st</t>
        </is>
      </c>
      <c r="D23" s="14" t="n">
        <v>1</v>
      </c>
      <c r="E23" s="19" t="n">
        <v>75</v>
      </c>
      <c r="F23" s="8">
        <f>D23*E23</f>
        <v/>
      </c>
      <c r="G23" s="6" t="inlineStr">
        <is>
          <t>afhankelijk van inbouwruimte</t>
        </is>
      </c>
      <c r="H23" s="13" t="inlineStr">
        <is>
          <t>Nee</t>
        </is>
      </c>
    </row>
    <row r="24">
      <c r="A24" s="20" t="inlineStr">
        <is>
          <t>Regeling</t>
        </is>
      </c>
      <c r="B24" s="20" t="inlineStr">
        <is>
          <t>Ruimtethermostaat (draadloos of bedraad)</t>
        </is>
      </c>
      <c r="C24" s="18" t="inlineStr">
        <is>
          <t>st</t>
        </is>
      </c>
      <c r="D24" s="7">
        <f>Projectgegevens!B24</f>
        <v/>
      </c>
      <c r="E24" s="19" t="n">
        <v>65</v>
      </c>
      <c r="F24" s="8">
        <f>D24*E24</f>
        <v/>
      </c>
      <c r="G24" s="6" t="inlineStr"/>
      <c r="H24" s="13" t="inlineStr">
        <is>
          <t>Nee</t>
        </is>
      </c>
    </row>
    <row r="25">
      <c r="A25" s="6" t="inlineStr">
        <is>
          <t>Regeling</t>
        </is>
      </c>
      <c r="B25" s="6" t="inlineStr">
        <is>
          <t>Zone-actuator / thermische servo 230V of 24V</t>
        </is>
      </c>
      <c r="C25" s="18" t="inlineStr">
        <is>
          <t>st</t>
        </is>
      </c>
      <c r="D25" s="7">
        <f>Projectgegevens!B25</f>
        <v/>
      </c>
      <c r="E25" s="19" t="n">
        <v>28</v>
      </c>
      <c r="F25" s="8">
        <f>D25*E25</f>
        <v/>
      </c>
      <c r="G25" s="6" t="inlineStr">
        <is>
          <t>1 per groep</t>
        </is>
      </c>
      <c r="H25" s="13" t="inlineStr">
        <is>
          <t>Nee</t>
        </is>
      </c>
    </row>
    <row r="26">
      <c r="A26" s="20" t="inlineStr">
        <is>
          <t>Regeling</t>
        </is>
      </c>
      <c r="B26" s="20" t="inlineStr">
        <is>
          <t>Regelmodule / basisstation (indien zoneregeling)</t>
        </is>
      </c>
      <c r="C26" s="18" t="inlineStr">
        <is>
          <t>st</t>
        </is>
      </c>
      <c r="D26" s="14" t="n">
        <v>1</v>
      </c>
      <c r="E26" s="19" t="n">
        <v>145</v>
      </c>
      <c r="F26" s="8">
        <f>D26*E26</f>
        <v/>
      </c>
      <c r="G26" s="6" t="inlineStr">
        <is>
          <t>bij meervoudige zones</t>
        </is>
      </c>
      <c r="H26" s="13" t="inlineStr">
        <is>
          <t>Nee</t>
        </is>
      </c>
    </row>
    <row r="27">
      <c r="A27" s="6" t="inlineStr">
        <is>
          <t>Regeling</t>
        </is>
      </c>
      <c r="B27" s="6" t="inlineStr">
        <is>
          <t>Vloersensor / begrensingsvoeler</t>
        </is>
      </c>
      <c r="C27" s="18" t="inlineStr">
        <is>
          <t>st</t>
        </is>
      </c>
      <c r="D27" s="7">
        <f>Projectgegevens!B24</f>
        <v/>
      </c>
      <c r="E27" s="19" t="n">
        <v>18</v>
      </c>
      <c r="F27" s="8">
        <f>D27*E27</f>
        <v/>
      </c>
      <c r="G27" s="6" t="inlineStr">
        <is>
          <t>aanbevolen bij houten vloer</t>
        </is>
      </c>
      <c r="H27" s="13" t="inlineStr">
        <is>
          <t>Nee</t>
        </is>
      </c>
    </row>
    <row r="28">
      <c r="A28" s="20" t="inlineStr">
        <is>
          <t>Afdichting &amp; dekvloer-hulp</t>
        </is>
      </c>
      <c r="B28" s="20" t="inlineStr">
        <is>
          <t>Persset / afpersapparatuur (huur of aanschaf)</t>
        </is>
      </c>
      <c r="C28" s="18" t="inlineStr">
        <is>
          <t>st</t>
        </is>
      </c>
      <c r="D28" s="14" t="n">
        <v>1</v>
      </c>
      <c r="E28" s="19" t="n">
        <v>0</v>
      </c>
      <c r="F28" s="8">
        <f>D28*E28</f>
        <v/>
      </c>
      <c r="G28" s="6" t="inlineStr">
        <is>
          <t>vaak gehuurd; druktest verplicht</t>
        </is>
      </c>
      <c r="H28" s="13" t="inlineStr">
        <is>
          <t>Nee</t>
        </is>
      </c>
    </row>
    <row r="29">
      <c r="A29" s="6" t="inlineStr">
        <is>
          <t>Afdichting &amp; dekvloer-hulp</t>
        </is>
      </c>
      <c r="B29" s="6" t="inlineStr">
        <is>
          <t>Additief dekvloer / VV-toeslagmiddel</t>
        </is>
      </c>
      <c r="C29" s="18" t="inlineStr">
        <is>
          <t>l</t>
        </is>
      </c>
      <c r="D29" s="7">
        <f>ROUND(Projectgegevens!B11*0.15,1)</f>
        <v/>
      </c>
      <c r="E29" s="19" t="n">
        <v>6.5</v>
      </c>
      <c r="F29" s="8">
        <f>D29*E29</f>
        <v/>
      </c>
      <c r="G29" s="6" t="inlineStr">
        <is>
          <t>volg dekvloerleverancier</t>
        </is>
      </c>
      <c r="H29" s="13" t="inlineStr">
        <is>
          <t>Nee</t>
        </is>
      </c>
    </row>
    <row r="30">
      <c r="A30" s="20" t="inlineStr">
        <is>
          <t>Afdichting &amp; dekvloer-hulp</t>
        </is>
      </c>
      <c r="B30" s="20" t="inlineStr">
        <is>
          <t>Krimpwapening / vezels (optioneel)</t>
        </is>
      </c>
      <c r="C30" s="18" t="inlineStr">
        <is>
          <t>kg</t>
        </is>
      </c>
      <c r="D30" s="7">
        <f>ROUND(Projectgegevens!B11*0.6,1)</f>
        <v/>
      </c>
      <c r="E30" s="19" t="n">
        <v>2.8</v>
      </c>
      <c r="F30" s="8">
        <f>D30*E30</f>
        <v/>
      </c>
      <c r="G30" s="6" t="inlineStr"/>
      <c r="H30" s="13" t="inlineStr">
        <is>
          <t>Nee</t>
        </is>
      </c>
    </row>
    <row r="31">
      <c r="A31" s="6" t="inlineStr">
        <is>
          <t>Montagemateriaal</t>
        </is>
      </c>
      <c r="B31" s="6" t="inlineStr">
        <is>
          <t>Bevestigingsmateriaal verdeler (pluggen, bouten)</t>
        </is>
      </c>
      <c r="C31" s="18" t="inlineStr">
        <is>
          <t>set</t>
        </is>
      </c>
      <c r="D31" s="14" t="n">
        <v>1</v>
      </c>
      <c r="E31" s="19" t="n">
        <v>8</v>
      </c>
      <c r="F31" s="8">
        <f>D31*E31</f>
        <v/>
      </c>
      <c r="G31" s="6" t="inlineStr"/>
      <c r="H31" s="13" t="inlineStr">
        <is>
          <t>Nee</t>
        </is>
      </c>
    </row>
    <row r="32">
      <c r="A32" s="20" t="inlineStr">
        <is>
          <t>Montagemateriaal</t>
        </is>
      </c>
      <c r="B32" s="20" t="inlineStr">
        <is>
          <t>Kabel / trekkabel thermostaten</t>
        </is>
      </c>
      <c r="C32" s="18" t="inlineStr">
        <is>
          <t>m</t>
        </is>
      </c>
      <c r="D32" s="14" t="n">
        <v>40</v>
      </c>
      <c r="E32" s="19" t="n">
        <v>0.85</v>
      </c>
      <c r="F32" s="8">
        <f>D32*E32</f>
        <v/>
      </c>
      <c r="G32" s="6" t="inlineStr">
        <is>
          <t>bij bedrade regeling</t>
        </is>
      </c>
      <c r="H32" s="13" t="inlineStr">
        <is>
          <t>Nee</t>
        </is>
      </c>
    </row>
    <row r="33">
      <c r="A33" s="6" t="inlineStr">
        <is>
          <t>Montagemateriaal</t>
        </is>
      </c>
      <c r="B33" s="6" t="inlineStr">
        <is>
          <t>Isolatiemateriaal leidingen opgang</t>
        </is>
      </c>
      <c r="C33" s="18" t="inlineStr">
        <is>
          <t>m</t>
        </is>
      </c>
      <c r="D33" s="14" t="n">
        <v>10</v>
      </c>
      <c r="E33" s="19" t="n">
        <v>2.4</v>
      </c>
      <c r="F33" s="8">
        <f>D33*E33</f>
        <v/>
      </c>
      <c r="G33" s="6" t="inlineStr"/>
      <c r="H33" s="13" t="inlineStr">
        <is>
          <t>Nee</t>
        </is>
      </c>
    </row>
    <row r="34">
      <c r="A34" s="20" t="inlineStr">
        <is>
          <t>Montagemateriaal</t>
        </is>
      </c>
      <c r="B34" s="20" t="inlineStr">
        <is>
          <t>Markering / groepenlabels</t>
        </is>
      </c>
      <c r="C34" s="18" t="inlineStr">
        <is>
          <t>set</t>
        </is>
      </c>
      <c r="D34" s="14" t="n">
        <v>1</v>
      </c>
      <c r="E34" s="19" t="n">
        <v>5</v>
      </c>
      <c r="F34" s="8">
        <f>D34*E34</f>
        <v/>
      </c>
      <c r="G34" s="6" t="inlineStr"/>
      <c r="H34" s="13" t="inlineStr">
        <is>
          <t>Nee</t>
        </is>
      </c>
    </row>
    <row r="36">
      <c r="E36" s="2" t="inlineStr">
        <is>
          <t>Subtotaal excl. BTW</t>
        </is>
      </c>
      <c r="F36" s="21">
        <f>SUM(F5:F34)</f>
        <v/>
      </c>
    </row>
    <row r="37">
      <c r="E37" s="2" t="inlineStr">
        <is>
          <t>BTW</t>
        </is>
      </c>
      <c r="F37" s="8">
        <f>F36*Projectgegevens!B28</f>
        <v/>
      </c>
    </row>
    <row r="38">
      <c r="E38" s="9" t="inlineStr">
        <is>
          <t>Totaal incl. BTW</t>
        </is>
      </c>
      <c r="F38" s="10">
        <f>F36+F37</f>
        <v/>
      </c>
    </row>
    <row r="40">
      <c r="A40" s="2" t="inlineStr">
        <is>
          <t>Kostenindicatie per m² (excl. BTW)</t>
        </is>
      </c>
      <c r="B40" s="8">
        <f>IF(Projectgegevens!B11=0,0,F36/Projectgegevens!B11)</f>
        <v/>
      </c>
    </row>
    <row r="42">
      <c r="A42" s="15" t="inlineStr">
        <is>
          <t>Let op: eenheidsprijzen zijn richtwaarden (NL, indicatief). Arbeidsloon, dekvloer en eindafwerking (tegel/PVC/hout) zijn niet meegenomen.</t>
        </is>
      </c>
    </row>
  </sheetData>
  <autoFilter ref="A4:H34"/>
  <mergeCells count="3">
    <mergeCell ref="A42:H42"/>
    <mergeCell ref="A2:H2"/>
    <mergeCell ref="A1:H1"/>
  </mergeCells>
  <dataValidations count="1">
    <dataValidation sqref="H5:H34" showDropDown="0" showInputMessage="0" showErrorMessage="0" allowBlank="0" type="list">
      <formula1>"Nee,Ja,Deels"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22" customWidth="1" min="5" max="5"/>
    <col width="16" customWidth="1" min="6" max="6"/>
    <col width="36" customWidth="1" min="7" max="7"/>
  </cols>
  <sheetData>
    <row r="1">
      <c r="A1" s="1" t="inlineStr">
        <is>
          <t>Ruimteverdeling &amp; groepen</t>
        </is>
      </c>
    </row>
    <row r="2">
      <c r="A2" s="22" t="inlineStr">
        <is>
          <t>Vul per ruimte het oppervlak in. Groepen en buislengte worden berekend op basis van de buisafstand uit Projectgegevens.</t>
        </is>
      </c>
    </row>
    <row r="4">
      <c r="A4" s="5" t="inlineStr">
        <is>
          <t>Ruimte</t>
        </is>
      </c>
      <c r="B4" s="5" t="inlineStr">
        <is>
          <t>Oppervlak (m²)</t>
        </is>
      </c>
      <c r="C4" s="5" t="inlineStr">
        <is>
          <t>Buisafstand (cm)</t>
        </is>
      </c>
      <c r="D4" s="5" t="inlineStr">
        <is>
          <t>Buislengte (m)</t>
        </is>
      </c>
      <c r="E4" s="5" t="inlineStr">
        <is>
          <t>Aantal groepen (advies)</t>
        </is>
      </c>
      <c r="F4" s="5" t="inlineStr">
        <is>
          <t>Groepnummers</t>
        </is>
      </c>
      <c r="G4" s="5" t="inlineStr">
        <is>
          <t>Opmerking</t>
        </is>
      </c>
    </row>
    <row r="5">
      <c r="A5" s="13" t="inlineStr">
        <is>
          <t>Woonkamer</t>
        </is>
      </c>
      <c r="B5" s="14" t="n">
        <v>32</v>
      </c>
      <c r="C5" s="3">
        <f>IF(B5="","",Projectgegevens!B16)</f>
        <v/>
      </c>
      <c r="D5" s="7">
        <f>IF(OR(B5="",B5=0),"",ROUND(B5*(100/C5)*(1+Projectgegevens!B29),0))</f>
        <v/>
      </c>
      <c r="E5" s="3">
        <f>IF(OR(B5="",B5=0),"",MAX(1,ROUNDUP(B5/12,0)))</f>
        <v/>
      </c>
      <c r="F5" s="13" t="n"/>
      <c r="G5" s="13" t="n"/>
    </row>
    <row r="6">
      <c r="A6" s="13" t="inlineStr">
        <is>
          <t>Keuken</t>
        </is>
      </c>
      <c r="B6" s="14" t="n">
        <v>12</v>
      </c>
      <c r="C6" s="3">
        <f>IF(B6="","",Projectgegevens!B16)</f>
        <v/>
      </c>
      <c r="D6" s="7">
        <f>IF(OR(B6="",B6=0),"",ROUND(B6*(100/C6)*(1+Projectgegevens!B29),0))</f>
        <v/>
      </c>
      <c r="E6" s="3">
        <f>IF(OR(B6="",B6=0),"",MAX(1,ROUNDUP(B6/12,0)))</f>
        <v/>
      </c>
      <c r="F6" s="13" t="n"/>
      <c r="G6" s="13" t="n"/>
    </row>
    <row r="7">
      <c r="A7" s="13" t="inlineStr">
        <is>
          <t>Hal</t>
        </is>
      </c>
      <c r="B7" s="14" t="n">
        <v>8</v>
      </c>
      <c r="C7" s="3">
        <f>IF(B7="","",Projectgegevens!B16)</f>
        <v/>
      </c>
      <c r="D7" s="7">
        <f>IF(OR(B7="",B7=0),"",ROUND(B7*(100/C7)*(1+Projectgegevens!B29),0))</f>
        <v/>
      </c>
      <c r="E7" s="3">
        <f>IF(OR(B7="",B7=0),"",MAX(1,ROUNDUP(B7/12,0)))</f>
        <v/>
      </c>
      <c r="F7" s="13" t="n"/>
      <c r="G7" s="13" t="n"/>
    </row>
    <row r="8">
      <c r="A8" s="13" t="inlineStr">
        <is>
          <t>Badkamer</t>
        </is>
      </c>
      <c r="B8" s="14" t="n">
        <v>6</v>
      </c>
      <c r="C8" s="3">
        <f>IF(B8="","",Projectgegevens!B16)</f>
        <v/>
      </c>
      <c r="D8" s="7">
        <f>IF(OR(B8="",B8=0),"",ROUND(B8*(100/C8)*(1+Projectgegevens!B29),0))</f>
        <v/>
      </c>
      <c r="E8" s="3">
        <f>IF(OR(B8="",B8=0),"",MAX(1,ROUNDUP(B8/12,0)))</f>
        <v/>
      </c>
      <c r="F8" s="13" t="n"/>
      <c r="G8" s="13" t="n"/>
    </row>
    <row r="9">
      <c r="A9" s="13" t="inlineStr">
        <is>
          <t>Slaapkamer 1</t>
        </is>
      </c>
      <c r="B9" s="14" t="n">
        <v>14</v>
      </c>
      <c r="C9" s="3">
        <f>IF(B9="","",Projectgegevens!B16)</f>
        <v/>
      </c>
      <c r="D9" s="7">
        <f>IF(OR(B9="",B9=0),"",ROUND(B9*(100/C9)*(1+Projectgegevens!B29),0))</f>
        <v/>
      </c>
      <c r="E9" s="3">
        <f>IF(OR(B9="",B9=0),"",MAX(1,ROUNDUP(B9/12,0)))</f>
        <v/>
      </c>
      <c r="F9" s="13" t="n"/>
      <c r="G9" s="13" t="n"/>
    </row>
    <row r="10">
      <c r="A10" s="13" t="inlineStr">
        <is>
          <t>Slaapkamer 2</t>
        </is>
      </c>
      <c r="B10" s="14" t="n">
        <v>12</v>
      </c>
      <c r="C10" s="3">
        <f>IF(B10="","",Projectgegevens!B16)</f>
        <v/>
      </c>
      <c r="D10" s="7">
        <f>IF(OR(B10="",B10=0),"",ROUND(B10*(100/C10)*(1+Projectgegevens!B29),0))</f>
        <v/>
      </c>
      <c r="E10" s="3">
        <f>IF(OR(B10="",B10=0),"",MAX(1,ROUNDUP(B10/12,0)))</f>
        <v/>
      </c>
      <c r="F10" s="13" t="n"/>
      <c r="G10" s="13" t="n"/>
    </row>
    <row r="11">
      <c r="A11" s="13" t="inlineStr"/>
      <c r="B11" s="14" t="n"/>
      <c r="C11" s="3">
        <f>IF(B11="","",Projectgegevens!B16)</f>
        <v/>
      </c>
      <c r="D11" s="7">
        <f>IF(OR(B11="",B11=0),"",ROUND(B11*(100/C11)*(1+Projectgegevens!B29),0))</f>
        <v/>
      </c>
      <c r="E11" s="3">
        <f>IF(OR(B11="",B11=0),"",MAX(1,ROUNDUP(B11/12,0)))</f>
        <v/>
      </c>
      <c r="F11" s="13" t="n"/>
      <c r="G11" s="13" t="n"/>
    </row>
    <row r="12">
      <c r="A12" s="13" t="inlineStr"/>
      <c r="B12" s="14" t="n"/>
      <c r="C12" s="3">
        <f>IF(B12="","",Projectgegevens!B16)</f>
        <v/>
      </c>
      <c r="D12" s="7">
        <f>IF(OR(B12="",B12=0),"",ROUND(B12*(100/C12)*(1+Projectgegevens!B29),0))</f>
        <v/>
      </c>
      <c r="E12" s="3">
        <f>IF(OR(B12="",B12=0),"",MAX(1,ROUNDUP(B12/12,0)))</f>
        <v/>
      </c>
      <c r="F12" s="13" t="n"/>
      <c r="G12" s="13" t="n"/>
    </row>
    <row r="13">
      <c r="A13" s="13" t="inlineStr"/>
      <c r="B13" s="14" t="n"/>
      <c r="C13" s="3">
        <f>IF(B13="","",Projectgegevens!B16)</f>
        <v/>
      </c>
      <c r="D13" s="7">
        <f>IF(OR(B13="",B13=0),"",ROUND(B13*(100/C13)*(1+Projectgegevens!B29),0))</f>
        <v/>
      </c>
      <c r="E13" s="3">
        <f>IF(OR(B13="",B13=0),"",MAX(1,ROUNDUP(B13/12,0)))</f>
        <v/>
      </c>
      <c r="F13" s="13" t="n"/>
      <c r="G13" s="13" t="n"/>
    </row>
    <row r="14">
      <c r="A14" s="13" t="inlineStr"/>
      <c r="B14" s="14" t="n"/>
      <c r="C14" s="3">
        <f>IF(B14="","",Projectgegevens!B16)</f>
        <v/>
      </c>
      <c r="D14" s="7">
        <f>IF(OR(B14="",B14=0),"",ROUND(B14*(100/C14)*(1+Projectgegevens!B29),0))</f>
        <v/>
      </c>
      <c r="E14" s="3">
        <f>IF(OR(B14="",B14=0),"",MAX(1,ROUNDUP(B14/12,0)))</f>
        <v/>
      </c>
      <c r="F14" s="13" t="n"/>
      <c r="G14" s="13" t="n"/>
    </row>
    <row r="15">
      <c r="A15" s="2" t="inlineStr">
        <is>
          <t>Totaal oppervlak (m²)</t>
        </is>
      </c>
      <c r="B15" s="23">
        <f>SUM(B5:B14)</f>
        <v/>
      </c>
    </row>
    <row r="16">
      <c r="A16" s="2" t="inlineStr">
        <is>
          <t>Totaal buislengte (m)</t>
        </is>
      </c>
      <c r="B16" s="23">
        <f>SUM(D5:D14)</f>
        <v/>
      </c>
    </row>
    <row r="17">
      <c r="A17" s="2" t="inlineStr">
        <is>
          <t>Totaal groepen (advies)</t>
        </is>
      </c>
      <c r="B17" s="24">
        <f>SUM(E5:E14)</f>
        <v/>
      </c>
    </row>
    <row r="19">
      <c r="A19" s="11" t="inlineStr">
        <is>
          <t>Vergelijking met Projectgegevens</t>
        </is>
      </c>
    </row>
    <row r="20">
      <c r="A20" t="inlineStr">
        <is>
          <t>Verschil oppervlak t.o.v. Projectgegevens (m²)</t>
        </is>
      </c>
      <c r="B20" s="7">
        <f>B15-Projectgegevens!B11</f>
        <v/>
      </c>
      <c r="C20" s="15" t="inlineStr">
        <is>
          <t>Streef naar 0 door Projectgegevens of ruimtes aan te passen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70" customWidth="1" min="2" max="2"/>
    <col width="12" customWidth="1" min="3" max="3"/>
  </cols>
  <sheetData>
    <row r="1">
      <c r="A1" s="1" t="inlineStr">
        <is>
          <t>Checklist installatie vloerverwarming</t>
        </is>
      </c>
    </row>
    <row r="3">
      <c r="A3" s="5" t="inlineStr">
        <is>
          <t>Fase</t>
        </is>
      </c>
      <c r="B3" s="5" t="inlineStr">
        <is>
          <t>Controlepunt</t>
        </is>
      </c>
      <c r="C3" s="5" t="inlineStr">
        <is>
          <t>Status</t>
        </is>
      </c>
    </row>
    <row r="4">
      <c r="A4" s="6" t="inlineStr">
        <is>
          <t>Voorbereiding</t>
        </is>
      </c>
      <c r="B4" s="6" t="inlineStr">
        <is>
          <t>Warmteverliesberekening / vermogen per ruimte bekend</t>
        </is>
      </c>
      <c r="C4" s="13" t="inlineStr">
        <is>
          <t>Open</t>
        </is>
      </c>
    </row>
    <row r="5">
      <c r="A5" s="6" t="inlineStr">
        <is>
          <t>Voorbereiding</t>
        </is>
      </c>
      <c r="B5" s="6" t="inlineStr">
        <is>
          <t>Opbouw vloer (isolatie + dekvloer + afwerking) vastgelegd</t>
        </is>
      </c>
      <c r="C5" s="13" t="inlineStr">
        <is>
          <t>Open</t>
        </is>
      </c>
    </row>
    <row r="6">
      <c r="A6" s="6" t="inlineStr">
        <is>
          <t>Voorbereiding</t>
        </is>
      </c>
      <c r="B6" s="6" t="inlineStr">
        <is>
          <t>Positie verdeler bepaald (bereikbaar, belucht, vorstvrij)</t>
        </is>
      </c>
      <c r="C6" s="13" t="inlineStr">
        <is>
          <t>Open</t>
        </is>
      </c>
    </row>
    <row r="7">
      <c r="A7" s="6" t="inlineStr">
        <is>
          <t>Voorbereiding</t>
        </is>
      </c>
      <c r="B7" s="6" t="inlineStr">
        <is>
          <t>Aansluiting op warmtebron (cv / warmtepomp) afgestemd</t>
        </is>
      </c>
      <c r="C7" s="13" t="inlineStr">
        <is>
          <t>Open</t>
        </is>
      </c>
    </row>
    <row r="8">
      <c r="A8" s="6" t="inlineStr">
        <is>
          <t>Isolatie</t>
        </is>
      </c>
      <c r="B8" s="6" t="inlineStr">
        <is>
          <t>Vloerisolatie volledig, aansluitend, zonder koudebruggen</t>
        </is>
      </c>
      <c r="C8" s="13" t="inlineStr">
        <is>
          <t>Open</t>
        </is>
      </c>
    </row>
    <row r="9">
      <c r="A9" s="6" t="inlineStr">
        <is>
          <t>Isolatie</t>
        </is>
      </c>
      <c r="B9" s="6" t="inlineStr">
        <is>
          <t>Randisolatie rondom alle wanden en kolommen</t>
        </is>
      </c>
      <c r="C9" s="13" t="inlineStr">
        <is>
          <t>Open</t>
        </is>
      </c>
    </row>
    <row r="10">
      <c r="A10" s="6" t="inlineStr">
        <is>
          <t>Buizen</t>
        </is>
      </c>
      <c r="B10" s="6" t="inlineStr">
        <is>
          <t>Buizen volgens legplan, juiste hart-op-hart afstand</t>
        </is>
      </c>
      <c r="C10" s="13" t="inlineStr">
        <is>
          <t>Open</t>
        </is>
      </c>
    </row>
    <row r="11">
      <c r="A11" s="6" t="inlineStr">
        <is>
          <t>Buizen</t>
        </is>
      </c>
      <c r="B11" s="6" t="inlineStr">
        <is>
          <t>Max. groeplengte niet overschreden (ca. 100–120 m)</t>
        </is>
      </c>
      <c r="C11" s="13" t="inlineStr">
        <is>
          <t>Open</t>
        </is>
      </c>
    </row>
    <row r="12">
      <c r="A12" s="6" t="inlineStr">
        <is>
          <t>Buizen</t>
        </is>
      </c>
      <c r="B12" s="6" t="inlineStr">
        <is>
          <t>Foto's / legplan vastgelegd vóór dekvloer</t>
        </is>
      </c>
      <c r="C12" s="13" t="inlineStr">
        <is>
          <t>Open</t>
        </is>
      </c>
    </row>
    <row r="13">
      <c r="A13" s="6" t="inlineStr">
        <is>
          <t>Verdeler</t>
        </is>
      </c>
      <c r="B13" s="6" t="inlineStr">
        <is>
          <t>Verdeler waterpas gemonteerd en correct aangesloten</t>
        </is>
      </c>
      <c r="C13" s="13" t="inlineStr">
        <is>
          <t>Open</t>
        </is>
      </c>
    </row>
    <row r="14">
      <c r="A14" s="6" t="inlineStr">
        <is>
          <t>Verdeler</t>
        </is>
      </c>
      <c r="B14" s="6" t="inlineStr">
        <is>
          <t>Groepen gelabeld (ruimte + lengte)</t>
        </is>
      </c>
      <c r="C14" s="13" t="inlineStr">
        <is>
          <t>Open</t>
        </is>
      </c>
    </row>
    <row r="15">
      <c r="A15" s="6" t="inlineStr">
        <is>
          <t>Test</t>
        </is>
      </c>
      <c r="B15" s="6" t="inlineStr">
        <is>
          <t>Systeem gevuld, ontlucht en afgeperst (druktest)</t>
        </is>
      </c>
      <c r="C15" s="13" t="inlineStr">
        <is>
          <t>Open</t>
        </is>
      </c>
    </row>
    <row r="16">
      <c r="A16" s="6" t="inlineStr">
        <is>
          <t>Test</t>
        </is>
      </c>
      <c r="B16" s="6" t="inlineStr">
        <is>
          <t>Druktestrapport opgeslagen</t>
        </is>
      </c>
      <c r="C16" s="13" t="inlineStr">
        <is>
          <t>Open</t>
        </is>
      </c>
    </row>
    <row r="17">
      <c r="A17" s="6" t="inlineStr">
        <is>
          <t>Dekvloer</t>
        </is>
      </c>
      <c r="B17" s="6" t="inlineStr">
        <is>
          <t>Buizen onder druk gehouden tijdens storten</t>
        </is>
      </c>
      <c r="C17" s="13" t="inlineStr">
        <is>
          <t>Open</t>
        </is>
      </c>
    </row>
    <row r="18">
      <c r="A18" s="6" t="inlineStr">
        <is>
          <t>Dekvloer</t>
        </is>
      </c>
      <c r="B18" s="6" t="inlineStr">
        <is>
          <t>Opstookprotocol na uitharding uitgevoerd</t>
        </is>
      </c>
      <c r="C18" s="13" t="inlineStr">
        <is>
          <t>Open</t>
        </is>
      </c>
    </row>
    <row r="19">
      <c r="A19" s="6" t="inlineStr">
        <is>
          <t>Regeling</t>
        </is>
      </c>
      <c r="B19" s="6" t="inlineStr">
        <is>
          <t>Thermostaten en servo's aangesloten en getest</t>
        </is>
      </c>
      <c r="C19" s="13" t="inlineStr">
        <is>
          <t>Open</t>
        </is>
      </c>
    </row>
    <row r="20">
      <c r="A20" s="6" t="inlineStr">
        <is>
          <t>Inregeling</t>
        </is>
      </c>
      <c r="B20" s="6" t="inlineStr">
        <is>
          <t>Debieten per groep ingeregeld</t>
        </is>
      </c>
      <c r="C20" s="13" t="inlineStr">
        <is>
          <t>Open</t>
        </is>
      </c>
    </row>
    <row r="21">
      <c r="A21" s="6" t="inlineStr">
        <is>
          <t>Oplevering</t>
        </is>
      </c>
      <c r="B21" s="6" t="inlineStr">
        <is>
          <t>Gebruikersinstructie en documentatie overgedragen</t>
        </is>
      </c>
      <c r="C21" s="13" t="inlineStr">
        <is>
          <t>Open</t>
        </is>
      </c>
    </row>
  </sheetData>
  <mergeCells count="1">
    <mergeCell ref="A1:C1"/>
  </mergeCells>
  <dataValidations count="1">
    <dataValidation sqref="C4:C21" showDropDown="0" showInputMessage="0" showErrorMessage="0" allowBlank="0" type="list">
      <formula1>"Open,Bezig,Gereed,n.v.t."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85" customWidth="1" min="2" max="2"/>
  </cols>
  <sheetData>
    <row r="1">
      <c r="A1" s="1" t="inlineStr">
        <is>
          <t>Vuistregels vloerverwarming</t>
        </is>
      </c>
    </row>
    <row r="3">
      <c r="A3" s="25" t="inlineStr">
        <is>
          <t>Onderwerp</t>
        </is>
      </c>
      <c r="B3" s="25" t="inlineStr">
        <is>
          <t>Vuistregel</t>
        </is>
      </c>
    </row>
    <row r="4">
      <c r="A4" s="6" t="inlineStr">
        <is>
          <t>Buislengte</t>
        </is>
      </c>
      <c r="B4" s="6" t="inlineStr">
        <is>
          <t>Buislengte (m) ≈ oppervlak (m²) × (100 / hart-op-hart in cm)</t>
        </is>
      </c>
    </row>
    <row r="5">
      <c r="A5" s="20" t="inlineStr">
        <is>
          <t>Hart-op-hart 10 cm</t>
        </is>
      </c>
      <c r="B5" s="20" t="inlineStr">
        <is>
          <t>±10 m buis per m² — hoge warmtevraag / badkamer</t>
        </is>
      </c>
    </row>
    <row r="6">
      <c r="A6" s="6" t="inlineStr">
        <is>
          <t>Hart-op-hart 15 cm</t>
        </is>
      </c>
      <c r="B6" s="6" t="inlineStr">
        <is>
          <t>±6,7 m buis per m² — standaard woningen</t>
        </is>
      </c>
    </row>
    <row r="7">
      <c r="A7" s="20" t="inlineStr">
        <is>
          <t>Hart-op-hart 20 cm</t>
        </is>
      </c>
      <c r="B7" s="20" t="inlineStr">
        <is>
          <t>±5 m buis per m² — lage warmtevraag / goed geïsoleerd</t>
        </is>
      </c>
    </row>
    <row r="8">
      <c r="A8" s="6" t="inlineStr">
        <is>
          <t>Max. groeplengte</t>
        </is>
      </c>
      <c r="B8" s="6" t="inlineStr">
        <is>
          <t>Bij 16 mm buis meestal max. 100–120 m per groep</t>
        </is>
      </c>
    </row>
    <row r="9">
      <c r="A9" s="20" t="inlineStr">
        <is>
          <t>Groepgrootte</t>
        </is>
      </c>
      <c r="B9" s="20" t="inlineStr">
        <is>
          <t>Vaak 10–15 m² per groep (afhankelijk van H.o.h. en weerstand)</t>
        </is>
      </c>
    </row>
    <row r="10">
      <c r="A10" s="6" t="inlineStr">
        <is>
          <t>Aanvoertemperatuur</t>
        </is>
      </c>
      <c r="B10" s="6" t="inlineStr">
        <is>
          <t>CV klassiek 35–45 °C; warmtepomp vaak 25–35 °C</t>
        </is>
      </c>
    </row>
    <row r="11">
      <c r="A11" s="20" t="inlineStr">
        <is>
          <t>Dekvloer</t>
        </is>
      </c>
      <c r="B11" s="20" t="inlineStr">
        <is>
          <t>Zandcement of anhydriet; minimale dekking boven buis aanhouden</t>
        </is>
      </c>
    </row>
    <row r="12">
      <c r="A12" s="6" t="inlineStr">
        <is>
          <t>Druktest</t>
        </is>
      </c>
      <c r="B12" s="6" t="inlineStr">
        <is>
          <t>Afpersen vóór dekvloer; vaak 24 uur op verhoogde druk</t>
        </is>
      </c>
    </row>
    <row r="13">
      <c r="A13" s="20" t="inlineStr">
        <is>
          <t>Opstookprotocol</t>
        </is>
      </c>
      <c r="B13" s="20" t="inlineStr">
        <is>
          <t>Langzaam opstoken na droging dekvloer (volg leverancier)</t>
        </is>
      </c>
    </row>
    <row r="14">
      <c r="A14" s="6" t="inlineStr">
        <is>
          <t>Houten vloer</t>
        </is>
      </c>
      <c r="B14" s="6" t="inlineStr">
        <is>
          <t>Vloertemperatuur begrenzen (vaak max. ±27 °C aan oppervlak)</t>
        </is>
      </c>
    </row>
    <row r="15">
      <c r="A15" s="20" t="inlineStr">
        <is>
          <t>Niet inbegrepen</t>
        </is>
      </c>
      <c r="B15" s="20" t="inlineStr">
        <is>
          <t>Arbeid, dekvloer zelf, eindafwerking, elektra, warmtebron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2026-08-22T15:03:27Z</dcterms:created>
  <dcterms:modified xsi:type="dcterms:W3CDTF">2026-08-22T15:03:27Z</dcterms:modified>
</cp:coreProperties>
</file>