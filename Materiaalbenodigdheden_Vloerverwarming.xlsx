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zicht" sheetId="1" state="visible" r:id="rId1"/>
    <sheet name="Kwaliteitskeuzes" sheetId="2" state="visible" r:id="rId2"/>
    <sheet name="Regeling-keuze" sheetId="3" state="visible" r:id="rId3"/>
    <sheet name="Boodschappenlijst" sheetId="4" state="visible" r:id="rId4"/>
    <sheet name="Tado-aansluiting" sheetId="5" state="visible" r:id="rId5"/>
    <sheet name="Bestelchecklist" sheetId="6" state="visible" r:id="rId6"/>
  </sheets>
  <definedNames>
    <definedName name="_xlnm._FilterDatabase" localSheetId="3" hidden="1">'Boodschappenlijst'!$A$5:$S$24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13">
    <font>
      <name val="Calibri"/>
      <family val="2"/>
      <color theme="1"/>
      <sz val="11"/>
      <scheme val="minor"/>
    </font>
    <font>
      <name val="Calibri"/>
      <b val="1"/>
      <color rgb="001B4F72"/>
      <sz val="16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color rgb="00FFFFFF"/>
      <sz val="11"/>
    </font>
    <font>
      <b val="1"/>
      <color rgb="001A5276"/>
    </font>
    <font>
      <name val="Calibri"/>
      <b val="1"/>
      <color rgb="001A5276"/>
      <sz val="10"/>
    </font>
    <font>
      <b val="1"/>
    </font>
    <font>
      <name val="Calibri"/>
      <b val="1"/>
      <color rgb="002874A6"/>
      <sz val="12"/>
    </font>
    <font>
      <name val="Calibri"/>
      <b val="1"/>
      <sz val="11"/>
    </font>
    <font>
      <b val="1"/>
      <sz val="12"/>
    </font>
    <font>
      <b val="1"/>
      <color rgb="001B4F72"/>
    </font>
    <font>
      <name val="Calibri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AED6F1"/>
      </patternFill>
    </fill>
    <fill>
      <patternFill patternType="solid">
        <fgColor rgb="00E8DAEF"/>
      </patternFill>
    </fill>
    <fill>
      <patternFill patternType="solid">
        <fgColor rgb="00D5F5E3"/>
      </patternFill>
    </fill>
    <fill>
      <patternFill patternType="solid">
        <fgColor rgb="00D4E6F1"/>
      </patternFill>
    </fill>
    <fill>
      <patternFill patternType="solid">
        <fgColor rgb="00FCF3CF"/>
      </patternFill>
    </fill>
    <fill>
      <patternFill patternType="solid">
        <fgColor rgb="00ABEBC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9" fillId="0" borderId="0" pivotButton="0" quotePrefix="0" xfId="0"/>
    <xf numFmtId="0" fontId="0" fillId="5" borderId="1" pivotButton="0" quotePrefix="0" xfId="0"/>
    <xf numFmtId="0" fontId="8" fillId="6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7" fillId="5" borderId="1" pivotButton="0" quotePrefix="0" xfId="0"/>
    <xf numFmtId="0" fontId="0" fillId="3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3" borderId="0" pivotButton="0" quotePrefix="0" xfId="0"/>
    <xf numFmtId="0" fontId="6" fillId="3" borderId="1" pivotButton="0" quotePrefix="0" xfId="0"/>
    <xf numFmtId="0" fontId="0" fillId="0" borderId="1" applyAlignment="1" pivotButton="0" quotePrefix="0" xfId="0">
      <alignment wrapText="1"/>
    </xf>
    <xf numFmtId="0" fontId="7" fillId="4" borderId="0" pivotButton="0" quotePrefix="0" xfId="0"/>
    <xf numFmtId="0" fontId="0" fillId="4" borderId="1" pivotButton="0" quotePrefix="0" xfId="0"/>
    <xf numFmtId="0" fontId="8" fillId="0" borderId="0" pivotButton="0" quotePrefix="0" xfId="0"/>
    <xf numFmtId="0" fontId="10" fillId="7" borderId="1" pivotButton="0" quotePrefix="0" xfId="0"/>
    <xf numFmtId="0" fontId="11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 wrapText="1"/>
    </xf>
    <xf numFmtId="164" fontId="0" fillId="7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7" fillId="0" borderId="0" pivotButton="0" quotePrefix="0" xfId="0"/>
    <xf numFmtId="164" fontId="10" fillId="8" borderId="1" pivotButton="0" quotePrefix="0" xfId="0"/>
    <xf numFmtId="164" fontId="0" fillId="5" borderId="1" pivotButton="0" quotePrefix="0" xfId="0"/>
    <xf numFmtId="164" fontId="0" fillId="7" borderId="1" pivotButton="0" quotePrefix="0" xfId="0"/>
    <xf numFmtId="164" fontId="0" fillId="3" borderId="1" pivotButton="0" quotePrefix="0" xfId="0"/>
    <xf numFmtId="0" fontId="0" fillId="6" borderId="1" pivotButton="0" quotePrefix="0" xfId="0"/>
    <xf numFmtId="164" fontId="0" fillId="0" borderId="1" pivotButton="0" quotePrefix="0" xfId="0"/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www.elektramat.nl/magnum-slimfit-12-bevestigingsmat-vloerverwarming-3-75-m2-5-stuks-van-75x100cm-w61012/" TargetMode="External" Id="rId1" /><Relationship Type="http://schemas.openxmlformats.org/officeDocument/2006/relationships/hyperlink" Target="https://123installatiematerialen.nl/magnum-tube-vloerverwarmingsbuis-pe-rt-12-x-15-300-meter/" TargetMode="External" Id="rId2" /><Relationship Type="http://schemas.openxmlformats.org/officeDocument/2006/relationships/hyperlink" Target="https://www.elektramat.nl/magnum-adaptor-euroconus-aansluitkoppeling-12x1-5mm-x-3-4-2-stuks-w90012/" TargetMode="External" Id="rId3" /><Relationship Type="http://schemas.openxmlformats.org/officeDocument/2006/relationships/hyperlink" Target="https://123installatiematerialen.nl/90-bochtondersteuning-buismaat-o-10-12mm-2-stuks/" TargetMode="External" Id="rId4" /><Relationship Type="http://schemas.openxmlformats.org/officeDocument/2006/relationships/hyperlink" Target="https://www.elektramat.nl/magnum-contactlijm-voor-verlijmen-magnum-verlegsystemen-w61027/" TargetMode="External" Id="rId5" /><Relationship Type="http://schemas.openxmlformats.org/officeDocument/2006/relationships/hyperlink" Target="https://www.installand.nl/gena-climasol-randisolatie-zelfklevend-150-x-8-mm-rol-25-m" TargetMode="External" Id="rId6" /><Relationship Type="http://schemas.openxmlformats.org/officeDocument/2006/relationships/hyperlink" Target="https://egalinexxl.nl/products/kreisel-gruntolit-w-301-voorstrijk-5l" TargetMode="External" Id="rId7" /><Relationship Type="http://schemas.openxmlformats.org/officeDocument/2006/relationships/hyperlink" Target="https://egalinexxl.nl/products/kreisel-418-vezelversterkte-egalisatie-25kg-1-50mm" TargetMode="External" Id="rId8" /><Relationship Type="http://schemas.openxmlformats.org/officeDocument/2006/relationships/hyperlink" Target="https://www.123installatieshop.nl/vte-composiet-verdeler-4-groepen-met-pomp-ku100104gu" TargetMode="External" Id="rId9" /><Relationship Type="http://schemas.openxmlformats.org/officeDocument/2006/relationships/hyperlink" Target="https://www.elektramat.nl/bonfix-meerlagenbuis-alu-pers-systeembuis-16mm-x-2-0mm-op-rol-25-meter-2002715/" TargetMode="External" Id="rId10" /><Relationship Type="http://schemas.openxmlformats.org/officeDocument/2006/relationships/hyperlink" Target="https://online-vloerverwarming.nl/kogelkraan-set-1-rvs-verdeler/" TargetMode="External" Id="rId11" /><Relationship Type="http://schemas.openxmlformats.org/officeDocument/2006/relationships/hyperlink" Target="https://verwarmingonline.nl/productgroepen/mohlenhoff-thermische-servomotor-alpha-5-nc-m30x15mm-230v-a-20405-00n/" TargetMode="External" Id="rId12" /><Relationship Type="http://schemas.openxmlformats.org/officeDocument/2006/relationships/hyperlink" Target="https://www.gamma.nl/assortiment/elektra/elektradraad-en-kabel" TargetMode="External" Id="rId13" /><Relationship Type="http://schemas.openxmlformats.org/officeDocument/2006/relationships/hyperlink" Target="https://123installatiematerialen.nl/magnum-h64-set-bedraad-controlcenter-master-thermostaat-wifi/" TargetMode="External" Id="rId14" /><Relationship Type="http://schemas.openxmlformats.org/officeDocument/2006/relationships/hyperlink" Target="https://123installatiematerialen.nl/magnum-h64-st-bedraad-slave-thermostaat/" TargetMode="External" Id="rId15" /><Relationship Type="http://schemas.openxmlformats.org/officeDocument/2006/relationships/hyperlink" Target="https://shop.tado.com/nl-bx/products/wireless-smart-thermostat-x-starter-kit" TargetMode="External" Id="rId16" /><Relationship Type="http://schemas.openxmlformats.org/officeDocument/2006/relationships/hyperlink" Target="https://shop.tado.com/nl-bx/products/smart-thermostat-x-starter-kit-1" TargetMode="External" Id="rId17" /><Relationship Type="http://schemas.openxmlformats.org/officeDocument/2006/relationships/hyperlink" Target="https://shop.tado.com/nl-bx/products/smart-thermostat-x-wired" TargetMode="External" Id="rId18" /><Relationship Type="http://schemas.openxmlformats.org/officeDocument/2006/relationships/hyperlink" Target="https://www.coolblue.nl/thermostaten/tado" TargetMode="External" Id="rId1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36" customWidth="1" min="3" max="3"/>
  </cols>
  <sheetData>
    <row r="1">
      <c r="A1" s="1" t="inlineStr">
        <is>
          <t>Materiaallijst – kwaliteit eerst, dan prijs (≤ 1 week)</t>
        </is>
      </c>
    </row>
    <row r="3" ht="22" customHeight="1">
      <c r="A3" s="2" t="inlineStr">
        <is>
          <t>KOPJE: Vloerverwarming</t>
        </is>
      </c>
      <c r="B3" s="3" t="n"/>
      <c r="C3" s="3" t="n"/>
    </row>
    <row r="4">
      <c r="A4" s="4" t="inlineStr">
        <is>
          <t>Gekozen regeling</t>
        </is>
      </c>
      <c r="B4" s="5">
        <f>'Regeling-keuze'!B3</f>
        <v/>
      </c>
    </row>
    <row r="6">
      <c r="A6" s="6" t="inlineStr">
        <is>
          <t>Totalen</t>
        </is>
      </c>
    </row>
    <row r="7">
      <c r="A7" s="7" t="inlineStr">
        <is>
          <t>Optie</t>
        </is>
      </c>
      <c r="B7" s="7" t="inlineStr">
        <is>
          <t>Kwaliteitslijst</t>
        </is>
      </c>
      <c r="C7" s="7" t="inlineStr">
        <is>
          <t>t.o.v. pure goedkoopste</t>
        </is>
      </c>
    </row>
    <row r="8">
      <c r="A8" s="8" t="inlineStr">
        <is>
          <t>Basis</t>
        </is>
      </c>
      <c r="B8" s="9" t="n">
        <v>2090.1</v>
      </c>
      <c r="C8" s="10" t="inlineStr">
        <is>
          <t>+ € 135.82 voor betere kwaliteit</t>
        </is>
      </c>
    </row>
    <row r="9">
      <c r="A9" s="8" t="inlineStr">
        <is>
          <t>+ Tado bedraad (aanbevolen)</t>
        </is>
      </c>
      <c r="B9" s="9" t="n">
        <v>2420.09</v>
      </c>
      <c r="C9" s="10" t="inlineStr">
        <is>
          <t>+ € 135.82 voor betere kwaliteit</t>
        </is>
      </c>
    </row>
    <row r="10">
      <c r="A10" s="8" t="inlineStr">
        <is>
          <t>+ Tado draadloos</t>
        </is>
      </c>
      <c r="B10" s="9" t="n">
        <v>2477.1</v>
      </c>
      <c r="C10" s="10" t="inlineStr">
        <is>
          <t>+ € 135.82 voor betere kwaliteit</t>
        </is>
      </c>
    </row>
    <row r="11">
      <c r="A11" s="8" t="inlineStr">
        <is>
          <t>+ Magnum H64</t>
        </is>
      </c>
      <c r="B11" s="9" t="n">
        <v>2409.68</v>
      </c>
      <c r="C11" s="10" t="inlineStr">
        <is>
          <t>+ € 135.82 voor betere kwaliteit</t>
        </is>
      </c>
    </row>
    <row r="13">
      <c r="A13" s="11" t="inlineStr">
        <is>
          <t>3 kwaliteitsupgrades: VTE Composiet-verdeler · Möhlenhoff Alpha 5 actuators · NMC Climasol randisolatie</t>
        </is>
      </c>
    </row>
    <row r="14">
      <c r="A14" s="12" t="inlineStr">
        <is>
          <t>Aanbevolen: Tado bedraad (stabieler dan draadloos).</t>
        </is>
      </c>
    </row>
  </sheetData>
  <mergeCells count="4">
    <mergeCell ref="A1:C1"/>
    <mergeCell ref="A13:C13"/>
    <mergeCell ref="A3:C3"/>
    <mergeCell ref="A6:C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70" customWidth="1" min="4" max="4"/>
  </cols>
  <sheetData>
    <row r="1">
      <c r="A1" s="1" t="inlineStr">
        <is>
          <t>Alleen upgrades die kwalitatief beter zijn (≤ 1 week leverbaar)</t>
        </is>
      </c>
    </row>
    <row r="2">
      <c r="A2" s="11" t="inlineStr">
        <is>
          <t>Goedkoper alleen als kwaliteit gelijk blijft. Duurder alleen als kwaliteit aantoonbaar beter is.</t>
        </is>
      </c>
    </row>
    <row r="4" ht="22" customHeight="1">
      <c r="A4" s="2" t="inlineStr">
        <is>
          <t>KOPJE: Vloerverwarming — wat is geüpgraded?</t>
        </is>
      </c>
      <c r="B4" s="3" t="n"/>
      <c r="C4" s="3" t="n"/>
      <c r="D4" s="3" t="n"/>
    </row>
    <row r="5">
      <c r="A5" s="7" t="inlineStr">
        <is>
          <t>Product</t>
        </is>
      </c>
      <c r="B5" s="7" t="inlineStr">
        <is>
          <t>Keuze</t>
        </is>
      </c>
      <c r="C5" s="7" t="inlineStr">
        <is>
          <t>Was (goedkoop)</t>
        </is>
      </c>
      <c r="D5" s="7" t="inlineStr">
        <is>
          <t>Waarom</t>
        </is>
      </c>
    </row>
    <row r="6">
      <c r="A6" s="13" t="inlineStr">
        <is>
          <t>UPGRADES (kwaliteit ↑)</t>
        </is>
      </c>
    </row>
    <row r="7" ht="40" customHeight="1">
      <c r="A7" s="8" t="inlineStr">
        <is>
          <t>NMC Climasol randisolatie 150×8 mm – rol 25 m</t>
        </is>
      </c>
      <c r="B7" s="14" t="inlineStr">
        <is>
          <t>UPGRADE</t>
        </is>
      </c>
      <c r="C7" s="8" t="inlineStr">
        <is>
          <t>€ 15.62 → € 23.99</t>
        </is>
      </c>
      <c r="D7" s="15" t="inlineStr">
        <is>
          <t>NMC is A-merk: vormvaster, betere flap/scheurstroken, betrouwbaarder bij egaline. +€8/rol is de moeite waard.</t>
        </is>
      </c>
    </row>
    <row r="8" ht="40" customHeight="1">
      <c r="A8" s="8" t="inlineStr">
        <is>
          <t>VTE Composiet 4-groeps mengverdeler + Grundfos UPM3 pomp</t>
        </is>
      </c>
      <c r="B8" s="14" t="inlineStr">
        <is>
          <t>UPGRADE</t>
        </is>
      </c>
      <c r="C8" s="8" t="inlineStr">
        <is>
          <t>€ 305.95 → € 387.18</t>
        </is>
      </c>
      <c r="D8" s="15" t="inlineStr">
        <is>
          <t>Beter dan VTE SLIM: flowmeters (inregelen), geen corrosie, koelbaar, dubbelwandig. Gelijkwaardig/beter dan Magnum Basic (€406) op features, iets goedkoper.</t>
        </is>
      </c>
    </row>
    <row r="9" ht="40" customHeight="1">
      <c r="A9" s="8" t="inlineStr">
        <is>
          <t>Möhlenhoff Alpha 5 thermische motor 230V NC M30×1,5 (+ adapter)</t>
        </is>
      </c>
      <c r="B9" s="14" t="inlineStr">
        <is>
          <t>UPGRADE</t>
        </is>
      </c>
      <c r="C9" s="8" t="inlineStr">
        <is>
          <t>€ 14.00 → € 20.12</t>
        </is>
      </c>
      <c r="D9" s="15" t="inlineStr">
        <is>
          <t>Möhlenhoff is kwalitatief duidelijk beter dan budget-Lovak (levensduur, lekkagebescherming, certificering). Marginaal duurder dan Magnum, merkbaar betrouwbaarder.</t>
        </is>
      </c>
    </row>
    <row r="10" ht="40" customHeight="1">
      <c r="A10" s="8" t="inlineStr">
        <is>
          <t>Elektrakabel 230V / signaalkabel (installatiekwaliteit)</t>
        </is>
      </c>
      <c r="B10" s="14" t="inlineStr">
        <is>
          <t>UPGRADE</t>
        </is>
      </c>
      <c r="C10" s="8" t="inlineStr">
        <is>
          <t>€ 20.00 → € 25.00</t>
        </is>
      </c>
      <c r="D10" s="15" t="inlineStr">
        <is>
          <t>Gebruik nette installatiekabel + deugdelijke lasdozen; besparen op elektra is valse economie.</t>
        </is>
      </c>
    </row>
    <row r="11" ht="40" customHeight="1">
      <c r="A11" s="8" t="inlineStr">
        <is>
          <t>tado° Slimme Thermostaat X Starterskit bedraad + Bridge X</t>
        </is>
      </c>
      <c r="B11" s="14" t="inlineStr">
        <is>
          <t>UPGRADE</t>
        </is>
      </c>
      <c r="C11" s="8" t="inlineStr">
        <is>
          <t>€ 129.99 → € 129.99</t>
        </is>
      </c>
      <c r="D11" s="15" t="inlineStr">
        <is>
          <t>Bedraad is kwalitatief beter dan 3× draadloos: stabielere voeding/communicatie, minder batterijen, betrouwbaarder bij VV.</t>
        </is>
      </c>
    </row>
    <row r="12" ht="40" customHeight="1">
      <c r="A12" s="8" t="inlineStr">
        <is>
          <t>tado° Slimme Thermostaat X bedraad (uitbreiding)</t>
        </is>
      </c>
      <c r="B12" s="14" t="inlineStr">
        <is>
          <t>UPGRADE</t>
        </is>
      </c>
      <c r="C12" s="8" t="inlineStr">
        <is>
          <t>€ 100.00 → € 100.00</t>
        </is>
      </c>
      <c r="D12" s="15" t="inlineStr">
        <is>
          <t>Onderdeel van bedrade (betere) Tado-setup.</t>
        </is>
      </c>
    </row>
    <row r="14">
      <c r="A14" s="16" t="inlineStr">
        <is>
          <t>BEHOUDEN (goedkoop genoeg / systeemecht / al optimaal)</t>
        </is>
      </c>
    </row>
    <row r="15" ht="36" customHeight="1">
      <c r="A15" s="8" t="inlineStr">
        <is>
          <t>MAGNUM SlimFit 12 bevestigingsmat 3,75 m²</t>
        </is>
      </c>
      <c r="B15" s="17" t="inlineStr">
        <is>
          <t>behouden</t>
        </is>
      </c>
      <c r="C15" s="8" t="inlineStr">
        <is>
          <t>€ 86.94</t>
        </is>
      </c>
      <c r="D15" s="15" t="inlineStr">
        <is>
          <t>Geen beter alternatief: SlimFit is systeemecht; generieke matten passen niet betrouwbaar op Magnum 12 mm-buis.</t>
        </is>
      </c>
    </row>
    <row r="16" ht="36" customHeight="1">
      <c r="A16" s="8" t="inlineStr">
        <is>
          <t>MAGNUM PE-RT buis 12×1,5 mm KOMO – rol 300 m</t>
        </is>
      </c>
      <c r="B16" s="17" t="inlineStr">
        <is>
          <t>behouden</t>
        </is>
      </c>
      <c r="C16" s="8" t="inlineStr">
        <is>
          <t>€ 142.93</t>
        </is>
      </c>
      <c r="D16" s="15" t="inlineStr">
        <is>
          <t>Blijf bij Magnum PE-RT: ontworpen voor SlimFit. Generieke 12 mm is niet automatisch beter.</t>
        </is>
      </c>
    </row>
    <row r="17" ht="36" customHeight="1">
      <c r="A17" s="8" t="inlineStr">
        <is>
          <t>MAGNUM Euroconus 12×1,5 mm × ¾″ (set van 2)</t>
        </is>
      </c>
      <c r="B17" s="17" t="inlineStr">
        <is>
          <t>behouden</t>
        </is>
      </c>
      <c r="C17" s="8" t="inlineStr">
        <is>
          <t>€ 4.69</t>
        </is>
      </c>
      <c r="D17" s="15" t="inlineStr">
        <is>
          <t>Systeemecht; past gegarandeerd op Magnum-buis + Euroconus-verdeler.</t>
        </is>
      </c>
    </row>
    <row r="18" ht="36" customHeight="1">
      <c r="A18" s="8" t="inlineStr">
        <is>
          <t>MAGNUM 90° bochtondersteuning ø10–12 mm (set van 2)</t>
        </is>
      </c>
      <c r="B18" s="17" t="inlineStr">
        <is>
          <t>behouden</t>
        </is>
      </c>
      <c r="C18" s="8" t="inlineStr">
        <is>
          <t>€ 1.18</t>
        </is>
      </c>
      <c r="D18" s="15" t="inlineStr">
        <is>
          <t>Voldoende kwaliteit; duurdere merken bieden hier geen merkbare meerwaarde.</t>
        </is>
      </c>
    </row>
    <row r="19" ht="36" customHeight="1">
      <c r="A19" s="8" t="inlineStr">
        <is>
          <t>MAGNUM Contactlijm 500 ml</t>
        </is>
      </c>
      <c r="B19" s="17" t="inlineStr">
        <is>
          <t>behouden</t>
        </is>
      </c>
      <c r="C19" s="8" t="inlineStr">
        <is>
          <t>€ 9.05</t>
        </is>
      </c>
      <c r="D19" s="15" t="inlineStr">
        <is>
          <t>Speciaal voor Magnum-verlegsystemen; generieke spuitlijm is niet beter.</t>
        </is>
      </c>
    </row>
    <row r="20" ht="36" customHeight="1">
      <c r="A20" s="8" t="inlineStr">
        <is>
          <t>Kreisel Gruntolit-W 301 voorstrijk 5 L</t>
        </is>
      </c>
      <c r="B20" s="17" t="inlineStr">
        <is>
          <t>behouden</t>
        </is>
      </c>
      <c r="C20" s="8" t="inlineStr">
        <is>
          <t>€ 9.29</t>
        </is>
      </c>
      <c r="D20" s="15" t="inlineStr">
        <is>
          <t>Houd primer bij dezelfde fabrikant als egaline (systeemcompatibiliteit).</t>
        </is>
      </c>
    </row>
    <row r="21" ht="36" customHeight="1">
      <c r="A21" s="8" t="inlineStr">
        <is>
          <t>Kreisel 418 vezelversterkte egaline 25 kg</t>
        </is>
      </c>
      <c r="B21" s="17" t="inlineStr">
        <is>
          <t>behouden</t>
        </is>
      </c>
      <c r="C21" s="8" t="inlineStr">
        <is>
          <t>€ 14.87</t>
        </is>
      </c>
      <c r="D21" s="15" t="inlineStr">
        <is>
          <t>Kreisel 418 is hier beter dan Uzin NC 170: tot 50 mm in 1 laag + vezels tegen thermische spanning. NC 170 is premium dun (0–15 mm) maar minder geschikt voor dikke SlimFit-dekking.</t>
        </is>
      </c>
    </row>
    <row r="22" ht="36" customHeight="1">
      <c r="A22" s="8" t="inlineStr">
        <is>
          <t>Aanvoer + retourleiding (meerlagenbuis 16×2)</t>
        </is>
      </c>
      <c r="B22" s="17" t="inlineStr">
        <is>
          <t>behouden</t>
        </is>
      </c>
      <c r="C22" s="8" t="inlineStr">
        <is>
          <t>€ 6.50</t>
        </is>
      </c>
      <c r="D22" s="15" t="inlineStr">
        <is>
          <t>Kwaliteit zit in merk-meerlagenbuis; lengte is situatiespecifiek.</t>
        </is>
      </c>
    </row>
    <row r="23" ht="36" customHeight="1">
      <c r="A23" s="8" t="inlineStr">
        <is>
          <t>Kogelkranen / koppelingen set</t>
        </is>
      </c>
      <c r="B23" s="17" t="inlineStr">
        <is>
          <t>behouden</t>
        </is>
      </c>
      <c r="C23" s="8" t="inlineStr">
        <is>
          <t>€ 34.95</t>
        </is>
      </c>
      <c r="D23" s="15" t="inlineStr">
        <is>
          <t>Functioneel voldoende; premium messing-sets zijn niet merkbaar beter voor dit gebruik.</t>
        </is>
      </c>
    </row>
    <row r="24" ht="36" customHeight="1">
      <c r="A24" s="8" t="inlineStr">
        <is>
          <t>MAGNUM H64-CC + master WiFi-thermostaat</t>
        </is>
      </c>
      <c r="B24" s="17" t="inlineStr">
        <is>
          <t>behouden</t>
        </is>
      </c>
      <c r="C24" s="8" t="inlineStr">
        <is>
          <t>€ 213.74</t>
        </is>
      </c>
      <c r="D24" s="15" t="inlineStr">
        <is>
          <t>Binnen H64-lijn is dit het juiste product; geen beter Magnum-alternatief.</t>
        </is>
      </c>
    </row>
    <row r="25" ht="36" customHeight="1">
      <c r="A25" s="8" t="inlineStr">
        <is>
          <t>MAGNUM H64-ST slave thermostaat</t>
        </is>
      </c>
      <c r="B25" s="17" t="inlineStr">
        <is>
          <t>behouden</t>
        </is>
      </c>
      <c r="C25" s="8" t="inlineStr">
        <is>
          <t>€ 52.92</t>
        </is>
      </c>
      <c r="D25" s="15" t="inlineStr">
        <is>
          <t>Passend bij H64-CC; geen kwaliteitswinst bij andere slave.</t>
        </is>
      </c>
    </row>
    <row r="26" ht="36" customHeight="1">
      <c r="A26" s="8" t="inlineStr">
        <is>
          <t>tado° Draadloze Slimme Thermostaat X Starterskit</t>
        </is>
      </c>
      <c r="B26" s="17" t="inlineStr">
        <is>
          <t>behouden</t>
        </is>
      </c>
      <c r="C26" s="8" t="inlineStr">
        <is>
          <t>€ 129.00</t>
        </is>
      </c>
      <c r="D26" s="15" t="inlineStr">
        <is>
          <t>Prima, maar bedraad is kwalitatief stabieler (zie nr 17–18).</t>
        </is>
      </c>
    </row>
    <row r="28">
      <c r="A28" s="18" t="inlineStr">
        <is>
          <t>Niet gedaan (bewust)</t>
        </is>
      </c>
    </row>
    <row r="29">
      <c r="A29" s="11" t="inlineStr">
        <is>
          <t>• Geen Uzin NC 170 i.p.v. Kreisel 418: NC 170 is premium dun-egaline; Kreisel 418 (vezels, tot 50 mm) past beter op SlimFit.</t>
        </is>
      </c>
    </row>
    <row r="30">
      <c r="A30" s="11" t="inlineStr">
        <is>
          <t>• Geen generieke 12 mm-buis i.p.v. Magnum: systeemcompatibiliteit SlimFit &gt; kleine prijswinst.</t>
        </is>
      </c>
    </row>
  </sheetData>
  <mergeCells count="7">
    <mergeCell ref="A1:D1"/>
    <mergeCell ref="A6:D6"/>
    <mergeCell ref="A4:D4"/>
    <mergeCell ref="A30:D30"/>
    <mergeCell ref="A29:D29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40" customWidth="1" min="3" max="3"/>
  </cols>
  <sheetData>
    <row r="1" ht="22" customHeight="1">
      <c r="A1" s="2" t="inlineStr">
        <is>
          <t>KOPJE: Vloerverwarming — regeling</t>
        </is>
      </c>
      <c r="B1" s="3" t="n"/>
      <c r="C1" s="3" t="n"/>
    </row>
    <row r="3">
      <c r="A3" s="4" t="inlineStr">
        <is>
          <t>Kies hier je regeling →</t>
        </is>
      </c>
      <c r="B3" s="19" t="inlineStr">
        <is>
          <t>Tado bedraad (3 ruimten)</t>
        </is>
      </c>
    </row>
    <row r="4">
      <c r="B4">
        <f>B3</f>
        <v/>
      </c>
    </row>
    <row r="5">
      <c r="A5" s="11" t="inlineStr">
        <is>
          <t>Tip: bedraad = kwalitatief preferabel boven 3× draadloos.</t>
        </is>
      </c>
    </row>
  </sheetData>
  <mergeCells count="1">
    <mergeCell ref="A1:C1"/>
  </mergeCells>
  <dataValidations count="1">
    <dataValidation sqref="B3" showDropDown="0" showInputMessage="0" showErrorMessage="0" allowBlank="0" type="list">
      <formula1>"Tado draadloos (3 ruimten),Tado bedraad (3 ruimten),Magnum H64"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" customWidth="1" min="2" max="2"/>
    <col width="12" customWidth="1" min="3" max="3"/>
    <col width="12" customWidth="1" min="4" max="4"/>
    <col width="42" customWidth="1" min="5" max="5"/>
    <col width="12" customWidth="1" min="6" max="6"/>
    <col width="30" customWidth="1" min="7" max="7"/>
    <col width="28" customWidth="1" min="8" max="8"/>
    <col width="10" customWidth="1" min="9" max="9"/>
    <col width="9" customWidth="1" min="10" max="10"/>
    <col width="10" customWidth="1" min="11" max="11"/>
    <col width="11" customWidth="1" min="12" max="12"/>
    <col width="10" customWidth="1" min="13" max="13"/>
    <col width="11" customWidth="1" min="14" max="14"/>
    <col width="14" customWidth="1" min="15" max="15"/>
    <col width="16" customWidth="1" min="16" max="16"/>
    <col width="36" customWidth="1" min="17" max="17"/>
    <col width="40" customWidth="1" min="18" max="18"/>
    <col width="28" customWidth="1" min="19" max="19"/>
  </cols>
  <sheetData>
    <row r="1">
      <c r="A1" s="1" t="inlineStr">
        <is>
          <t>Boodschappenlijst – kwaliteit waar het loont</t>
        </is>
      </c>
    </row>
    <row r="2">
      <c r="A2" s="11" t="inlineStr">
        <is>
          <t>Blauw = kwaliteitsupgrade. Paars = bewust behouden. Totalen = vaste bedragen.</t>
        </is>
      </c>
    </row>
    <row r="4" ht="22" customHeight="1">
      <c r="A4" s="2" t="inlineStr">
        <is>
          <t>KOPJE: Vloerverwarming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</row>
    <row r="5" ht="34" customHeight="1">
      <c r="A5" s="7" t="inlineStr">
        <is>
          <t>Kopje</t>
        </is>
      </c>
      <c r="B5" s="7" t="inlineStr">
        <is>
          <t>Nr</t>
        </is>
      </c>
      <c r="C5" s="7" t="inlineStr">
        <is>
          <t>Keuze</t>
        </is>
      </c>
      <c r="D5" s="7" t="inlineStr">
        <is>
          <t>Categorie</t>
        </is>
      </c>
      <c r="E5" s="7" t="inlineStr">
        <is>
          <t>Benodigd artikel</t>
        </is>
      </c>
      <c r="F5" s="7" t="inlineStr">
        <is>
          <t>Artikelnr</t>
        </is>
      </c>
      <c r="G5" s="7" t="inlineStr">
        <is>
          <t>Omschrijving</t>
        </is>
      </c>
      <c r="H5" s="7" t="inlineStr">
        <is>
          <t>Waarvoor nodig</t>
        </is>
      </c>
      <c r="I5" s="7" t="inlineStr">
        <is>
          <t>Hoeveelheid</t>
        </is>
      </c>
      <c r="J5" s="7" t="inlineStr">
        <is>
          <t>Eenheid</t>
        </is>
      </c>
      <c r="K5" s="7" t="inlineStr">
        <is>
          <t>Prijs/st</t>
        </is>
      </c>
      <c r="L5" s="7" t="inlineStr">
        <is>
          <t>Goedkoopste/st</t>
        </is>
      </c>
      <c r="M5" s="7" t="inlineStr">
        <is>
          <t>Kwaliteit</t>
        </is>
      </c>
      <c r="N5" s="7" t="inlineStr">
        <is>
          <t>Totaal</t>
        </is>
      </c>
      <c r="O5" s="7" t="inlineStr">
        <is>
          <t>Levertijd</t>
        </is>
      </c>
      <c r="P5" s="7" t="inlineStr">
        <is>
          <t>Webshop</t>
        </is>
      </c>
      <c r="Q5" s="7" t="inlineStr">
        <is>
          <t>Product-URL</t>
        </is>
      </c>
      <c r="R5" s="7" t="inlineStr">
        <is>
          <t>Waarom deze keuze</t>
        </is>
      </c>
      <c r="S5" s="7" t="inlineStr">
        <is>
          <t>Opmerking</t>
        </is>
      </c>
    </row>
    <row r="6" ht="62" customHeight="1">
      <c r="A6" s="20" t="inlineStr">
        <is>
          <t>Vloerverwarming</t>
        </is>
      </c>
      <c r="B6" s="21" t="n">
        <v>1</v>
      </c>
      <c r="C6" s="21" t="inlineStr">
        <is>
          <t>altijd</t>
        </is>
      </c>
      <c r="D6" s="21" t="inlineStr">
        <is>
          <t>Bevestiging</t>
        </is>
      </c>
      <c r="E6" s="21" t="inlineStr">
        <is>
          <t>MAGNUM SlimFit 12 bevestigingsmat 3,75 m²</t>
        </is>
      </c>
      <c r="F6" s="21" t="inlineStr">
        <is>
          <t>W61012</t>
        </is>
      </c>
      <c r="G6" s="21" t="inlineStr">
        <is>
          <t>Kunststof klikmatten 5×75×100 cm = 3,75 m², opbouw ~14 mm.</t>
        </is>
      </c>
      <c r="H6" s="21" t="inlineStr">
        <is>
          <t>Basislaag voor buizen over ±30 m².</t>
        </is>
      </c>
      <c r="I6" s="22" t="n">
        <v>8</v>
      </c>
      <c r="J6" s="21" t="inlineStr">
        <is>
          <t>pak</t>
        </is>
      </c>
      <c r="K6" s="23" t="n">
        <v>86.94</v>
      </c>
      <c r="L6" s="24" t="n">
        <v>86.94</v>
      </c>
      <c r="M6" s="25" t="inlineStr">
        <is>
          <t>behouden</t>
        </is>
      </c>
      <c r="N6" s="26" t="n">
        <v>695.52</v>
      </c>
      <c r="O6" s="21" t="inlineStr">
        <is>
          <t>1 werkdag</t>
        </is>
      </c>
      <c r="P6" s="21" t="inlineStr">
        <is>
          <t>Elektramat</t>
        </is>
      </c>
      <c r="Q6" s="27" t="inlineStr">
        <is>
          <t>https://www.elektramat.nl/magnum-slimfit-12-bevestigingsmat-vloerverwarming-3-75-m2-5-stuks-van-75x100cm-w61012/</t>
        </is>
      </c>
      <c r="R6" s="21" t="inlineStr">
        <is>
          <t>Geen beter alternatief: SlimFit is systeemecht; generieke matten passen niet betrouwbaar op Magnum 12 mm-buis.</t>
        </is>
      </c>
      <c r="S6" s="21" t="inlineStr">
        <is>
          <t>Goedkoopste Magnum-origineel met 1 wd levering.</t>
        </is>
      </c>
    </row>
    <row r="7" ht="62" customHeight="1">
      <c r="A7" s="20" t="inlineStr">
        <is>
          <t>Vloerverwarming</t>
        </is>
      </c>
      <c r="B7" s="21" t="n">
        <v>2</v>
      </c>
      <c r="C7" s="21" t="inlineStr">
        <is>
          <t>altijd</t>
        </is>
      </c>
      <c r="D7" s="21" t="inlineStr">
        <is>
          <t>Buis</t>
        </is>
      </c>
      <c r="E7" s="21" t="inlineStr">
        <is>
          <t>MAGNUM PE-RT buis 12×1,5 mm KOMO – rol 300 m</t>
        </is>
      </c>
      <c r="F7" s="21" t="inlineStr">
        <is>
          <t>W12300</t>
        </is>
      </c>
      <c r="G7" s="21" t="inlineStr">
        <is>
          <t>5-laags PE-RT ø12 mm, KOMO/EVOH, zuurstofdicht.</t>
        </is>
      </c>
      <c r="H7" s="21" t="inlineStr">
        <is>
          <t>4 verwarmingscircuits.</t>
        </is>
      </c>
      <c r="I7" s="22" t="n">
        <v>1</v>
      </c>
      <c r="J7" s="21" t="inlineStr">
        <is>
          <t>rol</t>
        </is>
      </c>
      <c r="K7" s="23" t="n">
        <v>142.93</v>
      </c>
      <c r="L7" s="24" t="n">
        <v>142.93</v>
      </c>
      <c r="M7" s="25" t="inlineStr">
        <is>
          <t>behouden</t>
        </is>
      </c>
      <c r="N7" s="26" t="n">
        <v>142.93</v>
      </c>
      <c r="O7" s="21" t="inlineStr">
        <is>
          <t>Morgen in huis (v. 14:30)</t>
        </is>
      </c>
      <c r="P7" s="21" t="inlineStr">
        <is>
          <t>123InstallatieMaterialen</t>
        </is>
      </c>
      <c r="Q7" s="27" t="inlineStr">
        <is>
          <t>https://123installatiematerialen.nl/magnum-tube-vloerverwarmingsbuis-pe-rt-12-x-15-300-meter/</t>
        </is>
      </c>
      <c r="R7" s="21" t="inlineStr">
        <is>
          <t>Blijf bij Magnum PE-RT: ontworpen voor SlimFit. Generieke 12 mm is niet automatisch beter.</t>
        </is>
      </c>
      <c r="S7" s="21" t="inlineStr">
        <is>
          <t>Zelfde Magnum-kwaliteit, scherpste Magnum-prijs.</t>
        </is>
      </c>
    </row>
    <row r="8" ht="62" customHeight="1">
      <c r="A8" s="20" t="inlineStr">
        <is>
          <t>Vloerverwarming</t>
        </is>
      </c>
      <c r="B8" s="21" t="n">
        <v>3</v>
      </c>
      <c r="C8" s="21" t="inlineStr">
        <is>
          <t>altijd</t>
        </is>
      </c>
      <c r="D8" s="21" t="inlineStr">
        <is>
          <t>Aansluiting</t>
        </is>
      </c>
      <c r="E8" s="21" t="inlineStr">
        <is>
          <t>MAGNUM Euroconus 12×1,5 mm × ¾″ (set van 2)</t>
        </is>
      </c>
      <c r="F8" s="21" t="inlineStr">
        <is>
          <t>W90012</t>
        </is>
      </c>
      <c r="G8" s="21" t="inlineStr">
        <is>
          <t>Stalen knelkoppeling buis↔verdeler.</t>
        </is>
      </c>
      <c r="H8" s="21" t="inlineStr">
        <is>
          <t>1 set per groep.</t>
        </is>
      </c>
      <c r="I8" s="22" t="n">
        <v>4</v>
      </c>
      <c r="J8" s="21" t="inlineStr">
        <is>
          <t>set</t>
        </is>
      </c>
      <c r="K8" s="23" t="n">
        <v>4.69</v>
      </c>
      <c r="L8" s="24" t="n">
        <v>4.69</v>
      </c>
      <c r="M8" s="25" t="inlineStr">
        <is>
          <t>behouden</t>
        </is>
      </c>
      <c r="N8" s="26" t="n">
        <v>18.76</v>
      </c>
      <c r="O8" s="21" t="inlineStr">
        <is>
          <t>1 werkdag</t>
        </is>
      </c>
      <c r="P8" s="21" t="inlineStr">
        <is>
          <t>Elektramat</t>
        </is>
      </c>
      <c r="Q8" s="27" t="inlineStr">
        <is>
          <t>https://www.elektramat.nl/magnum-adaptor-euroconus-aansluitkoppeling-12x1-5mm-x-3-4-2-stuks-w90012/</t>
        </is>
      </c>
      <c r="R8" s="21" t="inlineStr">
        <is>
          <t>Systeemecht; past gegarandeerd op Magnum-buis + Euroconus-verdeler.</t>
        </is>
      </c>
      <c r="S8" s="21" t="inlineStr">
        <is>
          <t>Magnum-origineel, scherpste prijs.</t>
        </is>
      </c>
    </row>
    <row r="9" ht="62" customHeight="1">
      <c r="A9" s="20" t="inlineStr">
        <is>
          <t>Vloerverwarming</t>
        </is>
      </c>
      <c r="B9" s="21" t="n">
        <v>4</v>
      </c>
      <c r="C9" s="21" t="inlineStr">
        <is>
          <t>altijd</t>
        </is>
      </c>
      <c r="D9" s="21" t="inlineStr">
        <is>
          <t>Aansluiting</t>
        </is>
      </c>
      <c r="E9" s="21" t="inlineStr">
        <is>
          <t>MAGNUM 90° bochtondersteuning ø10–12 mm (set van 2)</t>
        </is>
      </c>
      <c r="F9" s="21" t="inlineStr">
        <is>
          <t>W90125</t>
        </is>
      </c>
      <c r="G9" s="21" t="inlineStr">
        <is>
          <t>Geleider 90° zonder knikken.</t>
        </is>
      </c>
      <c r="H9" s="21" t="inlineStr">
        <is>
          <t>Opgang verdeler→vloer.</t>
        </is>
      </c>
      <c r="I9" s="22" t="n">
        <v>4</v>
      </c>
      <c r="J9" s="21" t="inlineStr">
        <is>
          <t>set</t>
        </is>
      </c>
      <c r="K9" s="23" t="n">
        <v>1.18</v>
      </c>
      <c r="L9" s="24" t="n">
        <v>1.18</v>
      </c>
      <c r="M9" s="25" t="inlineStr">
        <is>
          <t>behouden</t>
        </is>
      </c>
      <c r="N9" s="26" t="n">
        <v>4.72</v>
      </c>
      <c r="O9" s="21" t="inlineStr">
        <is>
          <t>Morgen in huis (v. 14:30)</t>
        </is>
      </c>
      <c r="P9" s="21" t="inlineStr">
        <is>
          <t>123InstallatieMaterialen</t>
        </is>
      </c>
      <c r="Q9" s="27" t="inlineStr">
        <is>
          <t>https://123installatiematerialen.nl/90-bochtondersteuning-buismaat-o-10-12mm-2-stuks/</t>
        </is>
      </c>
      <c r="R9" s="21" t="inlineStr">
        <is>
          <t>Voldoende kwaliteit; duurdere merken bieden hier geen merkbare meerwaarde.</t>
        </is>
      </c>
      <c r="S9" s="21" t="inlineStr">
        <is>
          <t>Magnum-origineel, laagste prijs.</t>
        </is>
      </c>
    </row>
    <row r="10" ht="62" customHeight="1">
      <c r="A10" s="20" t="inlineStr">
        <is>
          <t>Vloerverwarming</t>
        </is>
      </c>
      <c r="B10" s="21" t="n">
        <v>5</v>
      </c>
      <c r="C10" s="21" t="inlineStr">
        <is>
          <t>altijd</t>
        </is>
      </c>
      <c r="D10" s="21" t="inlineStr">
        <is>
          <t>Bevestiging</t>
        </is>
      </c>
      <c r="E10" s="21" t="inlineStr">
        <is>
          <t>MAGNUM Contactlijm 500 ml</t>
        </is>
      </c>
      <c r="F10" s="21" t="inlineStr">
        <is>
          <t>W61027</t>
        </is>
      </c>
      <c r="G10" s="21" t="inlineStr">
        <is>
          <t>Spuitlijm voor SlimFit, ±5 m²/bus.</t>
        </is>
      </c>
      <c r="H10" s="21" t="inlineStr">
        <is>
          <t>Matten vastzetten.</t>
        </is>
      </c>
      <c r="I10" s="22" t="n">
        <v>6</v>
      </c>
      <c r="J10" s="21" t="inlineStr">
        <is>
          <t>bus</t>
        </is>
      </c>
      <c r="K10" s="23" t="n">
        <v>9.050000000000001</v>
      </c>
      <c r="L10" s="24" t="n">
        <v>9.050000000000001</v>
      </c>
      <c r="M10" s="25" t="inlineStr">
        <is>
          <t>behouden</t>
        </is>
      </c>
      <c r="N10" s="26" t="n">
        <v>54.3</v>
      </c>
      <c r="O10" s="21" t="inlineStr">
        <is>
          <t>1 werkdag</t>
        </is>
      </c>
      <c r="P10" s="21" t="inlineStr">
        <is>
          <t>Elektramat</t>
        </is>
      </c>
      <c r="Q10" s="27" t="inlineStr">
        <is>
          <t>https://www.elektramat.nl/magnum-contactlijm-voor-verlijmen-magnum-verlegsystemen-w61027/</t>
        </is>
      </c>
      <c r="R10" s="21" t="inlineStr">
        <is>
          <t>Speciaal voor Magnum-verlegsystemen; generieke spuitlijm is niet beter.</t>
        </is>
      </c>
      <c r="S10" s="21" t="inlineStr">
        <is>
          <t>Magnum-specifiek voor hun matten.</t>
        </is>
      </c>
    </row>
    <row r="11" ht="62" customHeight="1">
      <c r="A11" s="20" t="inlineStr">
        <is>
          <t>Vloerverwarming</t>
        </is>
      </c>
      <c r="B11" s="21" t="n">
        <v>6</v>
      </c>
      <c r="C11" s="21" t="inlineStr">
        <is>
          <t>altijd</t>
        </is>
      </c>
      <c r="D11" s="21" t="inlineStr">
        <is>
          <t>Isolatie</t>
        </is>
      </c>
      <c r="E11" s="21" t="inlineStr">
        <is>
          <t>NMC Climasol randisolatie 150×8 mm – rol 25 m</t>
        </is>
      </c>
      <c r="F11" s="21" t="inlineStr">
        <is>
          <t>Climasol</t>
        </is>
      </c>
      <c r="G11" s="21" t="inlineStr">
        <is>
          <t>Merk-PE-schuim met kleefstrook, afdekfolie en 5 scheurstroken.</t>
        </is>
      </c>
      <c r="H11" s="21" t="inlineStr">
        <is>
          <t>Rondom muren (75 m); voorkomt scheuren/koudebruggen.</t>
        </is>
      </c>
      <c r="I11" s="22" t="n">
        <v>3</v>
      </c>
      <c r="J11" s="21" t="inlineStr">
        <is>
          <t>rol</t>
        </is>
      </c>
      <c r="K11" s="23" t="n">
        <v>23.99</v>
      </c>
      <c r="L11" s="24" t="n">
        <v>15.62</v>
      </c>
      <c r="M11" s="28" t="inlineStr">
        <is>
          <t>upgrade</t>
        </is>
      </c>
      <c r="N11" s="26" t="n">
        <v>71.97</v>
      </c>
      <c r="O11" s="21" t="inlineStr">
        <is>
          <t>Morgen in huis (v. 16:30)</t>
        </is>
      </c>
      <c r="P11" s="21" t="inlineStr">
        <is>
          <t>Installand</t>
        </is>
      </c>
      <c r="Q11" s="27" t="inlineStr">
        <is>
          <t>https://www.installand.nl/gena-climasol-randisolatie-zelfklevend-150-x-8-mm-rol-25-m</t>
        </is>
      </c>
      <c r="R11" s="21" t="inlineStr">
        <is>
          <t>NMC is A-merk: vormvaster, betere flap/scheurstroken, betrouwbaarder bij egaline. +€8/rol is de moeite waard.</t>
        </is>
      </c>
      <c r="S11" s="21" t="inlineStr">
        <is>
          <t>KWALITEITSUPGRADE t.o.v. huismerk €15,62.</t>
        </is>
      </c>
    </row>
    <row r="12" ht="62" customHeight="1">
      <c r="A12" s="20" t="inlineStr">
        <is>
          <t>Vloerverwarming</t>
        </is>
      </c>
      <c r="B12" s="21" t="n">
        <v>7</v>
      </c>
      <c r="C12" s="21" t="inlineStr">
        <is>
          <t>altijd</t>
        </is>
      </c>
      <c r="D12" s="21" t="inlineStr">
        <is>
          <t>Egalisatie</t>
        </is>
      </c>
      <c r="E12" s="21" t="inlineStr">
        <is>
          <t>Kreisel Gruntolit-W 301 voorstrijk 5 L</t>
        </is>
      </c>
      <c r="F12" s="21" t="inlineStr">
        <is>
          <t>Gruntolit-W 301</t>
        </is>
      </c>
      <c r="G12" s="21" t="inlineStr">
        <is>
          <t>Hechtprimer waterbasis bij Kreisel 418.</t>
        </is>
      </c>
      <c r="H12" s="21" t="inlineStr">
        <is>
          <t>Onder egaline.</t>
        </is>
      </c>
      <c r="I12" s="22" t="n">
        <v>2</v>
      </c>
      <c r="J12" s="21" t="inlineStr">
        <is>
          <t>bus 5L</t>
        </is>
      </c>
      <c r="K12" s="23" t="n">
        <v>9.289999999999999</v>
      </c>
      <c r="L12" s="24" t="n">
        <v>9.289999999999999</v>
      </c>
      <c r="M12" s="25" t="inlineStr">
        <is>
          <t>behouden</t>
        </is>
      </c>
      <c r="N12" s="26" t="n">
        <v>18.58</v>
      </c>
      <c r="O12" s="21" t="inlineStr">
        <is>
          <t>2–5 werkdagen</t>
        </is>
      </c>
      <c r="P12" s="21" t="inlineStr">
        <is>
          <t>EgalineXXL</t>
        </is>
      </c>
      <c r="Q12" s="27" t="inlineStr">
        <is>
          <t>https://egalinexxl.nl/products/kreisel-gruntolit-w-301-voorstrijk-5l</t>
        </is>
      </c>
      <c r="R12" s="21" t="inlineStr">
        <is>
          <t>Houd primer bij dezelfde fabrikant als egaline (systeemcompatibiliteit).</t>
        </is>
      </c>
      <c r="S12" s="21" t="inlineStr">
        <is>
          <t>Past bij gekozen egaline.</t>
        </is>
      </c>
    </row>
    <row r="13" ht="62" customHeight="1">
      <c r="A13" s="20" t="inlineStr">
        <is>
          <t>Vloerverwarming</t>
        </is>
      </c>
      <c r="B13" s="21" t="n">
        <v>8</v>
      </c>
      <c r="C13" s="21" t="inlineStr">
        <is>
          <t>altijd</t>
        </is>
      </c>
      <c r="D13" s="21" t="inlineStr">
        <is>
          <t>Egalisatie</t>
        </is>
      </c>
      <c r="E13" s="21" t="inlineStr">
        <is>
          <t>Kreisel 418 vezelversterkte egaline 25 kg</t>
        </is>
      </c>
      <c r="F13" s="21" t="inlineStr">
        <is>
          <t>418</t>
        </is>
      </c>
      <c r="G13" s="21" t="inlineStr">
        <is>
          <t>Vezelversterkt, 1–50 mm, VV-geschikt, beloopbaar ±3 u.</t>
        </is>
      </c>
      <c r="H13" s="21" t="inlineStr">
        <is>
          <t>Inbedden SlimFit + buizen.</t>
        </is>
      </c>
      <c r="I13" s="22" t="n">
        <v>33</v>
      </c>
      <c r="J13" s="21" t="inlineStr">
        <is>
          <t>zak</t>
        </is>
      </c>
      <c r="K13" s="23" t="n">
        <v>14.87</v>
      </c>
      <c r="L13" s="24" t="n">
        <v>14.87</v>
      </c>
      <c r="M13" s="25" t="inlineStr">
        <is>
          <t>behouden</t>
        </is>
      </c>
      <c r="N13" s="26" t="n">
        <v>490.71</v>
      </c>
      <c r="O13" s="21" t="inlineStr">
        <is>
          <t>2–5 werkdagen</t>
        </is>
      </c>
      <c r="P13" s="21" t="inlineStr">
        <is>
          <t>EgalineXXL</t>
        </is>
      </c>
      <c r="Q13" s="27" t="inlineStr">
        <is>
          <t>https://egalinexxl.nl/products/kreisel-418-vezelversterkte-egalisatie-25kg-1-50mm</t>
        </is>
      </c>
      <c r="R13" s="21" t="inlineStr">
        <is>
          <t>Kreisel 418 is hier beter dan Uzin NC 170: tot 50 mm in 1 laag + vezels tegen thermische spanning. NC 170 is premium dun (0–15 mm) maar minder geschikt voor dikke SlimFit-dekking.</t>
        </is>
      </c>
      <c r="S13" s="21" t="inlineStr">
        <is>
          <t>Bewust NIET naar Uzin NC 170.</t>
        </is>
      </c>
    </row>
    <row r="14" ht="62" customHeight="1">
      <c r="A14" s="20" t="inlineStr">
        <is>
          <t>Vloerverwarming</t>
        </is>
      </c>
      <c r="B14" s="21" t="n">
        <v>9</v>
      </c>
      <c r="C14" s="21" t="inlineStr">
        <is>
          <t>altijd</t>
        </is>
      </c>
      <c r="D14" s="21" t="inlineStr">
        <is>
          <t>Verdeler</t>
        </is>
      </c>
      <c r="E14" s="21" t="inlineStr">
        <is>
          <t>VTE Composiet 4-groeps mengverdeler + Grundfos UPM3 pomp</t>
        </is>
      </c>
      <c r="F14" s="21" t="inlineStr">
        <is>
          <t>KU100104GU</t>
        </is>
      </c>
      <c r="G14" s="21" t="inlineStr">
        <is>
          <t>Glasvezel-composiet, flowmeters, motoriseerbare M30-ventielen, geen roest, ook koelen, 10 j. fabrieksgarantie.</t>
        </is>
      </c>
      <c r="H14" s="21" t="inlineStr">
        <is>
          <t>Hart van het systeem; verdeelt 4 groepen.</t>
        </is>
      </c>
      <c r="I14" s="22" t="n">
        <v>1</v>
      </c>
      <c r="J14" s="21" t="inlineStr">
        <is>
          <t>st</t>
        </is>
      </c>
      <c r="K14" s="23" t="n">
        <v>387.18</v>
      </c>
      <c r="L14" s="24" t="n">
        <v>305.95</v>
      </c>
      <c r="M14" s="28" t="inlineStr">
        <is>
          <t>upgrade</t>
        </is>
      </c>
      <c r="N14" s="26" t="n">
        <v>387.18</v>
      </c>
      <c r="O14" s="21" t="inlineStr">
        <is>
          <t>≤ 1 week (op voorraad)</t>
        </is>
      </c>
      <c r="P14" s="21" t="inlineStr">
        <is>
          <t>123Installatieshop</t>
        </is>
      </c>
      <c r="Q14" s="27" t="inlineStr">
        <is>
          <t>https://www.123installatieshop.nl/vte-composiet-verdeler-4-groepen-met-pomp-ku100104gu</t>
        </is>
      </c>
      <c r="R14" s="21" t="inlineStr">
        <is>
          <t>Beter dan VTE SLIM: flowmeters (inregelen), geen corrosie, koelbaar, dubbelwandig. Gelijkwaardig/beter dan Magnum Basic (€406) op features, iets goedkoper.</t>
        </is>
      </c>
      <c r="S14" s="21" t="inlineStr">
        <is>
          <t>KWALITEITSUPGRADE t.o.v. VTE SLIM €306.</t>
        </is>
      </c>
    </row>
    <row r="15" ht="62" customHeight="1">
      <c r="A15" s="20" t="inlineStr">
        <is>
          <t>Vloerverwarming</t>
        </is>
      </c>
      <c r="B15" s="21" t="n">
        <v>10</v>
      </c>
      <c r="C15" s="21" t="inlineStr">
        <is>
          <t>altijd</t>
        </is>
      </c>
      <c r="D15" s="21" t="inlineStr">
        <is>
          <t>CV-aansluiting</t>
        </is>
      </c>
      <c r="E15" s="21" t="inlineStr">
        <is>
          <t>Aanvoer + retourleiding (meerlagenbuis 16×2)</t>
        </is>
      </c>
      <c r="F15" s="21" t="inlineStr">
        <is>
          <t>—</t>
        </is>
      </c>
      <c r="G15" s="21" t="inlineStr">
        <is>
          <t>Bonfix/Henco-klasse meerlagenbuis.</t>
        </is>
      </c>
      <c r="H15" s="21" t="inlineStr">
        <is>
          <t>cv/wp → verdeler.</t>
        </is>
      </c>
      <c r="I15" s="22" t="n">
        <v>10</v>
      </c>
      <c r="J15" s="21" t="inlineStr">
        <is>
          <t>m</t>
        </is>
      </c>
      <c r="K15" s="23" t="n">
        <v>6.5</v>
      </c>
      <c r="L15" s="24" t="n">
        <v>6.5</v>
      </c>
      <c r="M15" s="25" t="inlineStr">
        <is>
          <t>behouden</t>
        </is>
      </c>
      <c r="N15" s="26" t="n">
        <v>65</v>
      </c>
      <c r="O15" s="21" t="inlineStr">
        <is>
          <t>1–3 werkdagen</t>
        </is>
      </c>
      <c r="P15" s="21" t="inlineStr">
        <is>
          <t>Elektramat / bouwmarkt</t>
        </is>
      </c>
      <c r="Q15" s="27" t="inlineStr">
        <is>
          <t>https://www.elektramat.nl/bonfix-meerlagenbuis-alu-pers-systeembuis-16mm-x-2-0mm-op-rol-25-meter-2002715/</t>
        </is>
      </c>
      <c r="R15" s="21" t="inlineStr">
        <is>
          <t>Kwaliteit zit in merk-meerlagenbuis; lengte is situatiespecifiek.</t>
        </is>
      </c>
      <c r="S15" s="21" t="inlineStr">
        <is>
          <t>Richtprijs; kies merkbuis (Bonfix/Henco), geen no-name.</t>
        </is>
      </c>
    </row>
    <row r="16" ht="62" customHeight="1">
      <c r="A16" s="20" t="inlineStr">
        <is>
          <t>Vloerverwarming</t>
        </is>
      </c>
      <c r="B16" s="21" t="n">
        <v>11</v>
      </c>
      <c r="C16" s="21" t="inlineStr">
        <is>
          <t>altijd</t>
        </is>
      </c>
      <c r="D16" s="21" t="inlineStr">
        <is>
          <t>CV-aansluiting</t>
        </is>
      </c>
      <c r="E16" s="21" t="inlineStr">
        <is>
          <t>Kogelkranen / koppelingen set</t>
        </is>
      </c>
      <c r="F16" s="21" t="inlineStr">
        <is>
          <t>—</t>
        </is>
      </c>
      <c r="G16" s="21" t="inlineStr">
        <is>
          <t>Afsluitset primair (check of verdeler ze al heeft).</t>
        </is>
      </c>
      <c r="H16" s="21" t="inlineStr">
        <is>
          <t>Service/afsluitbaar maken.</t>
        </is>
      </c>
      <c r="I16" s="22" t="n">
        <v>1</v>
      </c>
      <c r="J16" s="21" t="inlineStr">
        <is>
          <t>set</t>
        </is>
      </c>
      <c r="K16" s="23" t="n">
        <v>34.95</v>
      </c>
      <c r="L16" s="24" t="n">
        <v>34.95</v>
      </c>
      <c r="M16" s="25" t="inlineStr">
        <is>
          <t>behouden</t>
        </is>
      </c>
      <c r="N16" s="26" t="n">
        <v>34.95</v>
      </c>
      <c r="O16" s="21" t="inlineStr">
        <is>
          <t>1–3 werkdagen</t>
        </is>
      </c>
      <c r="P16" s="21" t="inlineStr">
        <is>
          <t>Online-vloerverwarming</t>
        </is>
      </c>
      <c r="Q16" s="27" t="inlineStr">
        <is>
          <t>https://online-vloerverwarming.nl/kogelkraan-set-1-rvs-verdeler/</t>
        </is>
      </c>
      <c r="R16" s="21" t="inlineStr">
        <is>
          <t>Functioneel voldoende; premium messing-sets zijn niet merkbaar beter voor dit gebruik.</t>
        </is>
      </c>
      <c r="S16" s="21" t="inlineStr">
        <is>
          <t>VTE Composiet heeft vaak primaire kranen – check levering.</t>
        </is>
      </c>
    </row>
    <row r="17" ht="62" customHeight="1">
      <c r="A17" s="20" t="inlineStr">
        <is>
          <t>Vloerverwarming</t>
        </is>
      </c>
      <c r="B17" s="21" t="n">
        <v>12</v>
      </c>
      <c r="C17" s="21" t="inlineStr">
        <is>
          <t>altijd</t>
        </is>
      </c>
      <c r="D17" s="21" t="inlineStr">
        <is>
          <t>Actuators</t>
        </is>
      </c>
      <c r="E17" s="21" t="inlineStr">
        <is>
          <t>Möhlenhoff Alpha 5 thermische motor 230V NC M30×1,5 (+ adapter)</t>
        </is>
      </c>
      <c r="F17" s="21" t="inlineStr">
        <is>
          <t>A20405-00N</t>
        </is>
      </c>
      <c r="G17" s="21" t="inlineStr">
        <is>
          <t>Duitse OEM-marktleider: TÜV, IP54, First-Open, overspanningsgarantie, 10 j. slaggarantie.</t>
        </is>
      </c>
      <c r="H17" s="21" t="inlineStr">
        <is>
          <t>Opent/sluit per groep; 1 per groep.</t>
        </is>
      </c>
      <c r="I17" s="22" t="n">
        <v>4</v>
      </c>
      <c r="J17" s="21" t="inlineStr">
        <is>
          <t>st</t>
        </is>
      </c>
      <c r="K17" s="23" t="n">
        <v>20.12</v>
      </c>
      <c r="L17" s="24" t="n">
        <v>14</v>
      </c>
      <c r="M17" s="28" t="inlineStr">
        <is>
          <t>upgrade</t>
        </is>
      </c>
      <c r="N17" s="26" t="n">
        <v>80.48</v>
      </c>
      <c r="O17" s="21" t="inlineStr">
        <is>
          <t>≤ 1 week</t>
        </is>
      </c>
      <c r="P17" s="21" t="inlineStr">
        <is>
          <t>VerwarmingOnline</t>
        </is>
      </c>
      <c r="Q17" s="27" t="inlineStr">
        <is>
          <t>https://verwarmingonline.nl/productgroepen/mohlenhoff-thermische-servomotor-alpha-5-nc-m30x15mm-230v-a-20405-00n/</t>
        </is>
      </c>
      <c r="R17" s="21" t="inlineStr">
        <is>
          <t>Möhlenhoff is kwalitatief duidelijk beter dan budget-Lovak (levensduur, lekkagebescherming, certificering). Marginaal duurder dan Magnum, merkbaar betrouwbaarder.</t>
        </is>
      </c>
      <c r="S17" s="21" t="inlineStr">
        <is>
          <t>KWALITEITSUPGRADE t.o.v. Lovak €14 / Magnum €19,95.</t>
        </is>
      </c>
    </row>
    <row r="18" ht="62" customHeight="1">
      <c r="A18" s="20" t="inlineStr">
        <is>
          <t>Vloerverwarming</t>
        </is>
      </c>
      <c r="B18" s="21" t="n">
        <v>13</v>
      </c>
      <c r="C18" s="21" t="inlineStr">
        <is>
          <t>altijd</t>
        </is>
      </c>
      <c r="D18" s="21" t="inlineStr">
        <is>
          <t>Elektra</t>
        </is>
      </c>
      <c r="E18" s="21" t="inlineStr">
        <is>
          <t>Elektrakabel 230V / signaalkabel (installatiekwaliteit)</t>
        </is>
      </c>
      <c r="F18" s="21" t="inlineStr">
        <is>
          <t>—</t>
        </is>
      </c>
      <c r="G18" s="21" t="inlineStr">
        <is>
          <t>YD/YMvK + 2-draads signaal volgens NEN.</t>
        </is>
      </c>
      <c r="H18" s="21" t="inlineStr">
        <is>
          <t>Voeding pomp/regeling/actuators.</t>
        </is>
      </c>
      <c r="I18" s="22" t="n">
        <v>1</v>
      </c>
      <c r="J18" s="21" t="inlineStr">
        <is>
          <t>kleinmateriaal</t>
        </is>
      </c>
      <c r="K18" s="23" t="n">
        <v>25</v>
      </c>
      <c r="L18" s="24" t="n">
        <v>20</v>
      </c>
      <c r="M18" s="28" t="inlineStr">
        <is>
          <t>upgrade</t>
        </is>
      </c>
      <c r="N18" s="26" t="n">
        <v>25</v>
      </c>
      <c r="O18" s="21" t="inlineStr">
        <is>
          <t>Direct</t>
        </is>
      </c>
      <c r="P18" s="21" t="inlineStr">
        <is>
          <t>Bouwmarkt / installateur</t>
        </is>
      </c>
      <c r="Q18" s="27" t="inlineStr">
        <is>
          <t>https://www.gamma.nl/assortiment/elektra/elektradraad-en-kabel</t>
        </is>
      </c>
      <c r="R18" s="21" t="inlineStr">
        <is>
          <t>Gebruik nette installatiekabel + deugdelijke lasdozen; besparen op elektra is valse economie.</t>
        </is>
      </c>
      <c r="S18" s="21" t="inlineStr">
        <is>
          <t>Lichte upgrade vs kale minimumkabel.</t>
        </is>
      </c>
    </row>
    <row r="19" ht="62" customHeight="1">
      <c r="A19" s="20" t="inlineStr">
        <is>
          <t>Vloerverwarming</t>
        </is>
      </c>
      <c r="B19" s="21" t="n">
        <v>14</v>
      </c>
      <c r="C19" s="22" t="inlineStr">
        <is>
          <t>h64</t>
        </is>
      </c>
      <c r="D19" s="21" t="inlineStr">
        <is>
          <t>Regeling H64</t>
        </is>
      </c>
      <c r="E19" s="21" t="inlineStr">
        <is>
          <t>MAGNUM H64-CC + master WiFi-thermostaat</t>
        </is>
      </c>
      <c r="F19" s="21" t="inlineStr">
        <is>
          <t>W81000</t>
        </is>
      </c>
      <c r="G19" s="21" t="inlineStr">
        <is>
          <t>8 zones + master WiFi.</t>
        </is>
      </c>
      <c r="H19" s="21" t="inlineStr">
        <is>
          <t>Alleen bij keuze H64.</t>
        </is>
      </c>
      <c r="I19" s="22" t="n">
        <v>1</v>
      </c>
      <c r="J19" s="21" t="inlineStr">
        <is>
          <t>set</t>
        </is>
      </c>
      <c r="K19" s="23" t="n">
        <v>213.74</v>
      </c>
      <c r="L19" s="24" t="n">
        <v>213.74</v>
      </c>
      <c r="M19" s="25" t="inlineStr">
        <is>
          <t>behouden</t>
        </is>
      </c>
      <c r="N19" s="26" t="n">
        <v>213.74</v>
      </c>
      <c r="O19" s="21" t="inlineStr">
        <is>
          <t>Morgen in huis (v. 14:30)</t>
        </is>
      </c>
      <c r="P19" s="21" t="inlineStr">
        <is>
          <t>123InstallatieMaterialen</t>
        </is>
      </c>
      <c r="Q19" s="27" t="inlineStr">
        <is>
          <t>https://123installatiematerialen.nl/magnum-h64-set-bedraad-controlcenter-master-thermostaat-wifi/</t>
        </is>
      </c>
      <c r="R19" s="21" t="inlineStr">
        <is>
          <t>Binnen H64-lijn is dit het juiste product; geen beter Magnum-alternatief.</t>
        </is>
      </c>
      <c r="S19" s="21" t="inlineStr">
        <is>
          <t>Scherpste H64-prijs, zelfde Magnum-kwaliteit.</t>
        </is>
      </c>
    </row>
    <row r="20" ht="62" customHeight="1">
      <c r="A20" s="20" t="inlineStr">
        <is>
          <t>Vloerverwarming</t>
        </is>
      </c>
      <c r="B20" s="21" t="n">
        <v>15</v>
      </c>
      <c r="C20" s="22" t="inlineStr">
        <is>
          <t>h64</t>
        </is>
      </c>
      <c r="D20" s="21" t="inlineStr">
        <is>
          <t>Regeling H64</t>
        </is>
      </c>
      <c r="E20" s="21" t="inlineStr">
        <is>
          <t>MAGNUM H64-ST slave thermostaat</t>
        </is>
      </c>
      <c r="F20" s="21" t="inlineStr">
        <is>
          <t>W81003</t>
        </is>
      </c>
      <c r="G20" s="21" t="inlineStr">
        <is>
          <t>Bedrade slave-klokthermostaat.</t>
        </is>
      </c>
      <c r="H20" s="21" t="inlineStr">
        <is>
          <t>Ruimte 2 en 3 bij H64.</t>
        </is>
      </c>
      <c r="I20" s="22" t="n">
        <v>2</v>
      </c>
      <c r="J20" s="21" t="inlineStr">
        <is>
          <t>st</t>
        </is>
      </c>
      <c r="K20" s="23" t="n">
        <v>52.92</v>
      </c>
      <c r="L20" s="24" t="n">
        <v>52.92</v>
      </c>
      <c r="M20" s="25" t="inlineStr">
        <is>
          <t>behouden</t>
        </is>
      </c>
      <c r="N20" s="26" t="n">
        <v>105.84</v>
      </c>
      <c r="O20" s="21" t="inlineStr">
        <is>
          <t>Morgen in huis (v. 14:30)</t>
        </is>
      </c>
      <c r="P20" s="21" t="inlineStr">
        <is>
          <t>123InstallatieMaterialen</t>
        </is>
      </c>
      <c r="Q20" s="27" t="inlineStr">
        <is>
          <t>https://123installatiematerialen.nl/magnum-h64-st-bedraad-slave-thermostaat/</t>
        </is>
      </c>
      <c r="R20" s="21" t="inlineStr">
        <is>
          <t>Passend bij H64-CC; geen kwaliteitswinst bij andere slave.</t>
        </is>
      </c>
      <c r="S20" s="21" t="inlineStr">
        <is>
          <t>Scherpste prijs.</t>
        </is>
      </c>
    </row>
    <row r="21" ht="62" customHeight="1">
      <c r="A21" s="20" t="inlineStr">
        <is>
          <t>Vloerverwarming</t>
        </is>
      </c>
      <c r="B21" s="21" t="n">
        <v>16</v>
      </c>
      <c r="C21" s="29" t="inlineStr">
        <is>
          <t>tado_draadloos</t>
        </is>
      </c>
      <c r="D21" s="21" t="inlineStr">
        <is>
          <t>Regeling Tado</t>
        </is>
      </c>
      <c r="E21" s="21" t="inlineStr">
        <is>
          <t>tado° Draadloze Slimme Thermostaat X Starterskit</t>
        </is>
      </c>
      <c r="F21" s="21" t="inlineStr">
        <is>
          <t>Wireless X Starter</t>
        </is>
      </c>
      <c r="G21" s="21" t="inlineStr">
        <is>
          <t>Ontvanger X + sensor X per zone.</t>
        </is>
      </c>
      <c r="H21" s="21" t="inlineStr">
        <is>
          <t>3 ruimten apart (draadloos).</t>
        </is>
      </c>
      <c r="I21" s="22" t="n">
        <v>3</v>
      </c>
      <c r="J21" s="21" t="inlineStr">
        <is>
          <t>set</t>
        </is>
      </c>
      <c r="K21" s="23" t="n">
        <v>129</v>
      </c>
      <c r="L21" s="24" t="n">
        <v>129</v>
      </c>
      <c r="M21" s="25" t="inlineStr">
        <is>
          <t>behouden</t>
        </is>
      </c>
      <c r="N21" s="26" t="n">
        <v>387</v>
      </c>
      <c r="O21" s="21" t="inlineStr">
        <is>
          <t>2–4 werkdagen</t>
        </is>
      </c>
      <c r="P21" s="21" t="inlineStr">
        <is>
          <t>tado° Shop</t>
        </is>
      </c>
      <c r="Q21" s="27" t="inlineStr">
        <is>
          <t>https://shop.tado.com/nl-bx/products/wireless-smart-thermostat-x-starter-kit</t>
        </is>
      </c>
      <c r="R21" s="21" t="inlineStr">
        <is>
          <t>Prima, maar bedraad is kwalitatief stabieler (zie nr 17–18).</t>
        </is>
      </c>
      <c r="S21" s="21" t="inlineStr">
        <is>
          <t>Goedkoopste Tado-shopprijs.</t>
        </is>
      </c>
    </row>
    <row r="22" ht="62" customHeight="1">
      <c r="A22" s="20" t="inlineStr">
        <is>
          <t>Vloerverwarming</t>
        </is>
      </c>
      <c r="B22" s="21" t="n">
        <v>17</v>
      </c>
      <c r="C22" s="29" t="inlineStr">
        <is>
          <t>tado_bedraad</t>
        </is>
      </c>
      <c r="D22" s="21" t="inlineStr">
        <is>
          <t>Regeling Tado</t>
        </is>
      </c>
      <c r="E22" s="21" t="inlineStr">
        <is>
          <t>tado° Slimme Thermostaat X Starterskit bedraad + Bridge X</t>
        </is>
      </c>
      <c r="F22" s="21" t="inlineStr">
        <is>
          <t>Wired X Starter</t>
        </is>
      </c>
      <c r="G22" s="21" t="inlineStr">
        <is>
          <t>Bedrade thermostaat X + Bridge X.</t>
        </is>
      </c>
      <c r="H22" s="21" t="inlineStr">
        <is>
          <t>Kamer 1 + netwerk.</t>
        </is>
      </c>
      <c r="I22" s="22" t="n">
        <v>1</v>
      </c>
      <c r="J22" s="21" t="inlineStr">
        <is>
          <t>set</t>
        </is>
      </c>
      <c r="K22" s="23" t="n">
        <v>129.99</v>
      </c>
      <c r="L22" s="24" t="n">
        <v>129.99</v>
      </c>
      <c r="M22" s="28" t="inlineStr">
        <is>
          <t>upgrade</t>
        </is>
      </c>
      <c r="N22" s="26" t="n">
        <v>129.99</v>
      </c>
      <c r="O22" s="21" t="inlineStr">
        <is>
          <t>2–4 werkdagen</t>
        </is>
      </c>
      <c r="P22" s="21" t="inlineStr">
        <is>
          <t>tado° Shop</t>
        </is>
      </c>
      <c r="Q22" s="27" t="inlineStr">
        <is>
          <t>https://shop.tado.com/nl-bx/products/smart-thermostat-x-starter-kit-1</t>
        </is>
      </c>
      <c r="R22" s="21" t="inlineStr">
        <is>
          <t>Bedraad is kwalitatief beter dan 3× draadloos: stabielere voeding/communicatie, minder batterijen, betrouwbaarder bij VV.</t>
        </is>
      </c>
      <c r="S22" s="21" t="inlineStr">
        <is>
          <t>AANBEVOLEN Tado-route.</t>
        </is>
      </c>
    </row>
    <row r="23" ht="62" customHeight="1">
      <c r="A23" s="20" t="inlineStr">
        <is>
          <t>Vloerverwarming</t>
        </is>
      </c>
      <c r="B23" s="21" t="n">
        <v>18</v>
      </c>
      <c r="C23" s="29" t="inlineStr">
        <is>
          <t>tado_bedraad</t>
        </is>
      </c>
      <c r="D23" s="21" t="inlineStr">
        <is>
          <t>Regeling Tado</t>
        </is>
      </c>
      <c r="E23" s="21" t="inlineStr">
        <is>
          <t>tado° Slimme Thermostaat X bedraad (uitbreiding)</t>
        </is>
      </c>
      <c r="F23" s="21" t="inlineStr">
        <is>
          <t>Smart Thermostat X</t>
        </is>
      </c>
      <c r="G23" s="21" t="inlineStr">
        <is>
          <t>Extra bedrade thermostaat.</t>
        </is>
      </c>
      <c r="H23" s="21" t="inlineStr">
        <is>
          <t>Kamer 2 en 3.</t>
        </is>
      </c>
      <c r="I23" s="22" t="n">
        <v>2</v>
      </c>
      <c r="J23" s="21" t="inlineStr">
        <is>
          <t>st</t>
        </is>
      </c>
      <c r="K23" s="23" t="n">
        <v>100</v>
      </c>
      <c r="L23" s="24" t="n">
        <v>100</v>
      </c>
      <c r="M23" s="28" t="inlineStr">
        <is>
          <t>upgrade</t>
        </is>
      </c>
      <c r="N23" s="26" t="n">
        <v>200</v>
      </c>
      <c r="O23" s="21" t="inlineStr">
        <is>
          <t>2–4 werkdagen</t>
        </is>
      </c>
      <c r="P23" s="21" t="inlineStr">
        <is>
          <t>tado° Shop</t>
        </is>
      </c>
      <c r="Q23" s="27" t="inlineStr">
        <is>
          <t>https://shop.tado.com/nl-bx/products/smart-thermostat-x-wired</t>
        </is>
      </c>
      <c r="R23" s="21" t="inlineStr">
        <is>
          <t>Onderdeel van bedrade (betere) Tado-setup.</t>
        </is>
      </c>
      <c r="S23" s="21" t="inlineStr">
        <is>
          <t>Bij bedrade starter.</t>
        </is>
      </c>
    </row>
    <row r="24" ht="62" customHeight="1">
      <c r="A24" s="20" t="inlineStr">
        <is>
          <t>Vloerverwarming</t>
        </is>
      </c>
      <c r="B24" s="21" t="n">
        <v>19</v>
      </c>
      <c r="C24" s="29" t="inlineStr">
        <is>
          <t>tado_optie</t>
        </is>
      </c>
      <c r="D24" s="21" t="inlineStr">
        <is>
          <t>Regeling Tado</t>
        </is>
      </c>
      <c r="E24" s="21" t="inlineStr">
        <is>
          <t>tado° Bridge X (extra indien nodig)</t>
        </is>
      </c>
      <c r="F24" s="21" t="inlineStr">
        <is>
          <t>Bridge X</t>
        </is>
      </c>
      <c r="G24" s="21" t="inlineStr">
        <is>
          <t>Extra Thread border router.</t>
        </is>
      </c>
      <c r="H24" s="21" t="inlineStr">
        <is>
          <t>Alleen bij bereikproblemen.</t>
        </is>
      </c>
      <c r="I24" s="22" t="n">
        <v>0</v>
      </c>
      <c r="J24" s="21" t="inlineStr">
        <is>
          <t>st</t>
        </is>
      </c>
      <c r="K24" s="23" t="n">
        <v>68</v>
      </c>
      <c r="L24" s="24" t="n">
        <v>68</v>
      </c>
      <c r="M24" s="25" t="inlineStr">
        <is>
          <t>behouden</t>
        </is>
      </c>
      <c r="N24" s="26" t="n">
        <v>0</v>
      </c>
      <c r="O24" s="21" t="inlineStr">
        <is>
          <t>1–3 werkdagen</t>
        </is>
      </c>
      <c r="P24" s="21" t="inlineStr">
        <is>
          <t>Coolblue / tado°</t>
        </is>
      </c>
      <c r="Q24" s="27" t="inlineStr">
        <is>
          <t>https://www.coolblue.nl/thermostaten/tado</t>
        </is>
      </c>
      <c r="R24" s="21" t="inlineStr">
        <is>
          <t>Meestal overbodig bij bedrade starter of ontvangers.</t>
        </is>
      </c>
      <c r="S24" s="21" t="inlineStr">
        <is>
          <t>Qty=0.</t>
        </is>
      </c>
    </row>
    <row r="26" ht="22" customHeight="1">
      <c r="A26" s="2" t="inlineStr">
        <is>
          <t>KOPJE: (nog leeg)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</row>
    <row r="28">
      <c r="J28" s="30" t="inlineStr">
        <is>
          <t>Vloerverwarming + Tado BEDRAAD (aanbevolen)</t>
        </is>
      </c>
      <c r="N28" s="31" t="n">
        <v>2420.09</v>
      </c>
    </row>
    <row r="29">
      <c r="J29" t="inlineStr">
        <is>
          <t>Vloerverwarming + Tado draadloos</t>
        </is>
      </c>
      <c r="N29" s="32" t="n">
        <v>2477.1</v>
      </c>
    </row>
    <row r="30">
      <c r="J30" t="inlineStr">
        <is>
          <t>Vloerverwarming + Magnum H64</t>
        </is>
      </c>
      <c r="N30" s="33" t="n">
        <v>2409.68</v>
      </c>
    </row>
    <row r="31">
      <c r="J31" t="inlineStr">
        <is>
          <t>Meerprijs vs pure goedkoopste (Tado bedraad)</t>
        </is>
      </c>
      <c r="N31" s="34" t="n">
        <v>135.82</v>
      </c>
    </row>
  </sheetData>
  <autoFilter ref="A5:S24"/>
  <mergeCells count="3">
    <mergeCell ref="A4:S4"/>
    <mergeCell ref="A26:S26"/>
    <mergeCell ref="A1:S1"/>
  </mergeCells>
  <hyperlinks>
    <hyperlink xmlns:r="http://schemas.openxmlformats.org/officeDocument/2006/relationships" ref="Q6" r:id="rId1"/>
    <hyperlink xmlns:r="http://schemas.openxmlformats.org/officeDocument/2006/relationships" ref="Q7" r:id="rId2"/>
    <hyperlink xmlns:r="http://schemas.openxmlformats.org/officeDocument/2006/relationships" ref="Q8" r:id="rId3"/>
    <hyperlink xmlns:r="http://schemas.openxmlformats.org/officeDocument/2006/relationships" ref="Q9" r:id="rId4"/>
    <hyperlink xmlns:r="http://schemas.openxmlformats.org/officeDocument/2006/relationships" ref="Q10" r:id="rId5"/>
    <hyperlink xmlns:r="http://schemas.openxmlformats.org/officeDocument/2006/relationships" ref="Q11" r:id="rId6"/>
    <hyperlink xmlns:r="http://schemas.openxmlformats.org/officeDocument/2006/relationships" ref="Q12" r:id="rId7"/>
    <hyperlink xmlns:r="http://schemas.openxmlformats.org/officeDocument/2006/relationships" ref="Q13" r:id="rId8"/>
    <hyperlink xmlns:r="http://schemas.openxmlformats.org/officeDocument/2006/relationships" ref="Q14" r:id="rId9"/>
    <hyperlink xmlns:r="http://schemas.openxmlformats.org/officeDocument/2006/relationships" ref="Q15" r:id="rId10"/>
    <hyperlink xmlns:r="http://schemas.openxmlformats.org/officeDocument/2006/relationships" ref="Q16" r:id="rId11"/>
    <hyperlink xmlns:r="http://schemas.openxmlformats.org/officeDocument/2006/relationships" ref="Q17" r:id="rId12"/>
    <hyperlink xmlns:r="http://schemas.openxmlformats.org/officeDocument/2006/relationships" ref="Q18" r:id="rId13"/>
    <hyperlink xmlns:r="http://schemas.openxmlformats.org/officeDocument/2006/relationships" ref="Q19" r:id="rId14"/>
    <hyperlink xmlns:r="http://schemas.openxmlformats.org/officeDocument/2006/relationships" ref="Q20" r:id="rId15"/>
    <hyperlink xmlns:r="http://schemas.openxmlformats.org/officeDocument/2006/relationships" ref="Q21" r:id="rId16"/>
    <hyperlink xmlns:r="http://schemas.openxmlformats.org/officeDocument/2006/relationships" ref="Q22" r:id="rId17"/>
    <hyperlink xmlns:r="http://schemas.openxmlformats.org/officeDocument/2006/relationships" ref="Q23" r:id="rId18"/>
    <hyperlink xmlns:r="http://schemas.openxmlformats.org/officeDocument/2006/relationships" ref="Q24" r:id="rId1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8" customWidth="1" min="3" max="3"/>
    <col width="28" customWidth="1" min="4" max="4"/>
  </cols>
  <sheetData>
    <row r="1" ht="22" customHeight="1">
      <c r="A1" s="2" t="inlineStr">
        <is>
          <t>KOPJE: Vloerverwarming — Tado</t>
        </is>
      </c>
      <c r="B1" s="3" t="n"/>
      <c r="C1" s="3" t="n"/>
      <c r="D1" s="3" t="n"/>
    </row>
    <row r="2">
      <c r="A2" s="1" t="inlineStr">
        <is>
          <t>3 ruimten op VTE Composiet 4-groeps + Möhlenhoff actuators</t>
        </is>
      </c>
    </row>
    <row r="4">
      <c r="A4" s="7" t="inlineStr">
        <is>
          <t>Ruimte</t>
        </is>
      </c>
      <c r="B4" s="7" t="inlineStr">
        <is>
          <t>Groepen</t>
        </is>
      </c>
      <c r="C4" s="7" t="inlineStr">
        <is>
          <t>Tado</t>
        </is>
      </c>
      <c r="D4" s="7" t="inlineStr">
        <is>
          <t>Actuators</t>
        </is>
      </c>
    </row>
    <row r="5">
      <c r="A5" s="8" t="inlineStr">
        <is>
          <t>Kamer 15 m²</t>
        </is>
      </c>
      <c r="B5" s="8" t="inlineStr">
        <is>
          <t>1+2</t>
        </is>
      </c>
      <c r="C5" s="8" t="inlineStr">
        <is>
          <t>Bedrade Thermostaat X</t>
        </is>
      </c>
      <c r="D5" s="8" t="inlineStr">
        <is>
          <t>2× Möhlenhoff parallel</t>
        </is>
      </c>
    </row>
    <row r="6">
      <c r="A6" s="8" t="inlineStr">
        <is>
          <t>Studeerkamer</t>
        </is>
      </c>
      <c r="B6" s="8" t="inlineStr">
        <is>
          <t>3</t>
        </is>
      </c>
      <c r="C6" s="8" t="inlineStr">
        <is>
          <t>Bedrade Thermostaat X</t>
        </is>
      </c>
      <c r="D6" s="8" t="inlineStr">
        <is>
          <t>1× Möhlenhoff</t>
        </is>
      </c>
    </row>
    <row r="7">
      <c r="A7" s="8" t="inlineStr">
        <is>
          <t>3e ruimte</t>
        </is>
      </c>
      <c r="B7" s="8" t="inlineStr">
        <is>
          <t>4</t>
        </is>
      </c>
      <c r="C7" s="8" t="inlineStr">
        <is>
          <t>Bedrade Thermostaat X</t>
        </is>
      </c>
      <c r="D7" s="8" t="inlineStr">
        <is>
          <t>1× Möhlenhoff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18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1" ht="22" customHeight="1">
      <c r="A1" s="2" t="inlineStr">
        <is>
          <t>KOPJE: Vloerverwarming — checklist</t>
        </is>
      </c>
      <c r="B1" s="3" t="n"/>
      <c r="C1" s="3" t="n"/>
      <c r="D1" s="3" t="n"/>
      <c r="E1" s="3" t="n"/>
      <c r="F1" s="3" t="n"/>
      <c r="G1" s="3" t="n"/>
      <c r="H1" s="3" t="n"/>
    </row>
    <row r="3">
      <c r="A3" s="7" t="inlineStr">
        <is>
          <t>Kopje</t>
        </is>
      </c>
      <c r="B3" s="7" t="inlineStr">
        <is>
          <t>Artikel</t>
        </is>
      </c>
      <c r="C3" s="7" t="inlineStr">
        <is>
          <t>Kwaliteit</t>
        </is>
      </c>
      <c r="D3" s="7" t="inlineStr">
        <is>
          <t>Webshop</t>
        </is>
      </c>
      <c r="E3" s="7" t="inlineStr">
        <is>
          <t>Prijs</t>
        </is>
      </c>
      <c r="F3" s="7" t="inlineStr">
        <is>
          <t>Besteld?</t>
        </is>
      </c>
      <c r="G3" s="7" t="inlineStr">
        <is>
          <t>Ordernr</t>
        </is>
      </c>
      <c r="H3" s="7" t="inlineStr">
        <is>
          <t>Ontvangen?</t>
        </is>
      </c>
    </row>
    <row r="4">
      <c r="A4" s="35" t="inlineStr">
        <is>
          <t>Vloerverwarming</t>
        </is>
      </c>
      <c r="B4" s="8" t="inlineStr">
        <is>
          <t>MAGNUM SlimFit 12 bevestigingsmat 3,75 m²</t>
        </is>
      </c>
      <c r="C4" s="17" t="inlineStr">
        <is>
          <t>behouden</t>
        </is>
      </c>
      <c r="D4" s="8" t="inlineStr">
        <is>
          <t>Elektramat</t>
        </is>
      </c>
      <c r="E4" s="36" t="n">
        <v>86.94</v>
      </c>
      <c r="F4" s="37" t="inlineStr">
        <is>
          <t>Nee</t>
        </is>
      </c>
      <c r="G4" s="37" t="n"/>
      <c r="H4" s="37" t="n"/>
    </row>
    <row r="5">
      <c r="A5" s="35" t="inlineStr">
        <is>
          <t>Vloerverwarming</t>
        </is>
      </c>
      <c r="B5" s="8" t="inlineStr">
        <is>
          <t>MAGNUM PE-RT buis 12×1,5 mm KOMO – rol 300 m</t>
        </is>
      </c>
      <c r="C5" s="17" t="inlineStr">
        <is>
          <t>behouden</t>
        </is>
      </c>
      <c r="D5" s="8" t="inlineStr">
        <is>
          <t>123InstallatieMaterialen</t>
        </is>
      </c>
      <c r="E5" s="36" t="n">
        <v>142.93</v>
      </c>
      <c r="F5" s="37" t="inlineStr">
        <is>
          <t>Nee</t>
        </is>
      </c>
      <c r="G5" s="37" t="n"/>
      <c r="H5" s="37" t="n"/>
    </row>
    <row r="6">
      <c r="A6" s="35" t="inlineStr">
        <is>
          <t>Vloerverwarming</t>
        </is>
      </c>
      <c r="B6" s="8" t="inlineStr">
        <is>
          <t>MAGNUM Euroconus 12×1,5 mm × ¾″ (set van 2)</t>
        </is>
      </c>
      <c r="C6" s="17" t="inlineStr">
        <is>
          <t>behouden</t>
        </is>
      </c>
      <c r="D6" s="8" t="inlineStr">
        <is>
          <t>Elektramat</t>
        </is>
      </c>
      <c r="E6" s="36" t="n">
        <v>4.69</v>
      </c>
      <c r="F6" s="37" t="inlineStr">
        <is>
          <t>Nee</t>
        </is>
      </c>
      <c r="G6" s="37" t="n"/>
      <c r="H6" s="37" t="n"/>
    </row>
    <row r="7">
      <c r="A7" s="35" t="inlineStr">
        <is>
          <t>Vloerverwarming</t>
        </is>
      </c>
      <c r="B7" s="8" t="inlineStr">
        <is>
          <t>MAGNUM 90° bochtondersteuning ø10–12 mm (set van 2)</t>
        </is>
      </c>
      <c r="C7" s="17" t="inlineStr">
        <is>
          <t>behouden</t>
        </is>
      </c>
      <c r="D7" s="8" t="inlineStr">
        <is>
          <t>123InstallatieMaterialen</t>
        </is>
      </c>
      <c r="E7" s="36" t="n">
        <v>1.18</v>
      </c>
      <c r="F7" s="37" t="inlineStr">
        <is>
          <t>Nee</t>
        </is>
      </c>
      <c r="G7" s="37" t="n"/>
      <c r="H7" s="37" t="n"/>
    </row>
    <row r="8">
      <c r="A8" s="35" t="inlineStr">
        <is>
          <t>Vloerverwarming</t>
        </is>
      </c>
      <c r="B8" s="8" t="inlineStr">
        <is>
          <t>MAGNUM Contactlijm 500 ml</t>
        </is>
      </c>
      <c r="C8" s="17" t="inlineStr">
        <is>
          <t>behouden</t>
        </is>
      </c>
      <c r="D8" s="8" t="inlineStr">
        <is>
          <t>Elektramat</t>
        </is>
      </c>
      <c r="E8" s="36" t="n">
        <v>9.050000000000001</v>
      </c>
      <c r="F8" s="37" t="inlineStr">
        <is>
          <t>Nee</t>
        </is>
      </c>
      <c r="G8" s="37" t="n"/>
      <c r="H8" s="37" t="n"/>
    </row>
    <row r="9">
      <c r="A9" s="35" t="inlineStr">
        <is>
          <t>Vloerverwarming</t>
        </is>
      </c>
      <c r="B9" s="8" t="inlineStr">
        <is>
          <t>NMC Climasol randisolatie 150×8 mm – rol 25 m</t>
        </is>
      </c>
      <c r="C9" s="10" t="inlineStr">
        <is>
          <t>upgrade</t>
        </is>
      </c>
      <c r="D9" s="8" t="inlineStr">
        <is>
          <t>Installand</t>
        </is>
      </c>
      <c r="E9" s="36" t="n">
        <v>23.99</v>
      </c>
      <c r="F9" s="37" t="inlineStr">
        <is>
          <t>Nee</t>
        </is>
      </c>
      <c r="G9" s="37" t="n"/>
      <c r="H9" s="37" t="n"/>
    </row>
    <row r="10">
      <c r="A10" s="35" t="inlineStr">
        <is>
          <t>Vloerverwarming</t>
        </is>
      </c>
      <c r="B10" s="8" t="inlineStr">
        <is>
          <t>Kreisel Gruntolit-W 301 voorstrijk 5 L</t>
        </is>
      </c>
      <c r="C10" s="17" t="inlineStr">
        <is>
          <t>behouden</t>
        </is>
      </c>
      <c r="D10" s="8" t="inlineStr">
        <is>
          <t>EgalineXXL</t>
        </is>
      </c>
      <c r="E10" s="36" t="n">
        <v>9.289999999999999</v>
      </c>
      <c r="F10" s="37" t="inlineStr">
        <is>
          <t>Nee</t>
        </is>
      </c>
      <c r="G10" s="37" t="n"/>
      <c r="H10" s="37" t="n"/>
    </row>
    <row r="11">
      <c r="A11" s="35" t="inlineStr">
        <is>
          <t>Vloerverwarming</t>
        </is>
      </c>
      <c r="B11" s="8" t="inlineStr">
        <is>
          <t>Kreisel 418 vezelversterkte egaline 25 kg</t>
        </is>
      </c>
      <c r="C11" s="17" t="inlineStr">
        <is>
          <t>behouden</t>
        </is>
      </c>
      <c r="D11" s="8" t="inlineStr">
        <is>
          <t>EgalineXXL</t>
        </is>
      </c>
      <c r="E11" s="36" t="n">
        <v>14.87</v>
      </c>
      <c r="F11" s="37" t="inlineStr">
        <is>
          <t>Nee</t>
        </is>
      </c>
      <c r="G11" s="37" t="n"/>
      <c r="H11" s="37" t="n"/>
    </row>
    <row r="12">
      <c r="A12" s="35" t="inlineStr">
        <is>
          <t>Vloerverwarming</t>
        </is>
      </c>
      <c r="B12" s="8" t="inlineStr">
        <is>
          <t>VTE Composiet 4-groeps mengverdeler + Grundfos UPM3 pomp</t>
        </is>
      </c>
      <c r="C12" s="10" t="inlineStr">
        <is>
          <t>upgrade</t>
        </is>
      </c>
      <c r="D12" s="8" t="inlineStr">
        <is>
          <t>123Installatieshop</t>
        </is>
      </c>
      <c r="E12" s="36" t="n">
        <v>387.18</v>
      </c>
      <c r="F12" s="37" t="inlineStr">
        <is>
          <t>Nee</t>
        </is>
      </c>
      <c r="G12" s="37" t="n"/>
      <c r="H12" s="37" t="n"/>
    </row>
    <row r="13">
      <c r="A13" s="35" t="inlineStr">
        <is>
          <t>Vloerverwarming</t>
        </is>
      </c>
      <c r="B13" s="8" t="inlineStr">
        <is>
          <t>Aanvoer + retourleiding (meerlagenbuis 16×2)</t>
        </is>
      </c>
      <c r="C13" s="17" t="inlineStr">
        <is>
          <t>behouden</t>
        </is>
      </c>
      <c r="D13" s="8" t="inlineStr">
        <is>
          <t>Elektramat / bouwmarkt</t>
        </is>
      </c>
      <c r="E13" s="36" t="n">
        <v>6.5</v>
      </c>
      <c r="F13" s="37" t="inlineStr">
        <is>
          <t>Nee</t>
        </is>
      </c>
      <c r="G13" s="37" t="n"/>
      <c r="H13" s="37" t="n"/>
    </row>
    <row r="14">
      <c r="A14" s="35" t="inlineStr">
        <is>
          <t>Vloerverwarming</t>
        </is>
      </c>
      <c r="B14" s="8" t="inlineStr">
        <is>
          <t>Kogelkranen / koppelingen set</t>
        </is>
      </c>
      <c r="C14" s="17" t="inlineStr">
        <is>
          <t>behouden</t>
        </is>
      </c>
      <c r="D14" s="8" t="inlineStr">
        <is>
          <t>Online-vloerverwarming</t>
        </is>
      </c>
      <c r="E14" s="36" t="n">
        <v>34.95</v>
      </c>
      <c r="F14" s="37" t="inlineStr">
        <is>
          <t>Nee</t>
        </is>
      </c>
      <c r="G14" s="37" t="n"/>
      <c r="H14" s="37" t="n"/>
    </row>
    <row r="15">
      <c r="A15" s="35" t="inlineStr">
        <is>
          <t>Vloerverwarming</t>
        </is>
      </c>
      <c r="B15" s="8" t="inlineStr">
        <is>
          <t>Möhlenhoff Alpha 5 thermische motor 230V NC M30×1,5 (+ adapter)</t>
        </is>
      </c>
      <c r="C15" s="10" t="inlineStr">
        <is>
          <t>upgrade</t>
        </is>
      </c>
      <c r="D15" s="8" t="inlineStr">
        <is>
          <t>VerwarmingOnline</t>
        </is>
      </c>
      <c r="E15" s="36" t="n">
        <v>20.12</v>
      </c>
      <c r="F15" s="37" t="inlineStr">
        <is>
          <t>Nee</t>
        </is>
      </c>
      <c r="G15" s="37" t="n"/>
      <c r="H15" s="37" t="n"/>
    </row>
    <row r="16">
      <c r="A16" s="35" t="inlineStr">
        <is>
          <t>Vloerverwarming</t>
        </is>
      </c>
      <c r="B16" s="8" t="inlineStr">
        <is>
          <t>Elektrakabel 230V / signaalkabel (installatiekwaliteit)</t>
        </is>
      </c>
      <c r="C16" s="10" t="inlineStr">
        <is>
          <t>upgrade</t>
        </is>
      </c>
      <c r="D16" s="8" t="inlineStr">
        <is>
          <t>Bouwmarkt / installateur</t>
        </is>
      </c>
      <c r="E16" s="36" t="n">
        <v>25</v>
      </c>
      <c r="F16" s="37" t="inlineStr">
        <is>
          <t>Nee</t>
        </is>
      </c>
      <c r="G16" s="37" t="n"/>
      <c r="H16" s="37" t="n"/>
    </row>
    <row r="17">
      <c r="A17" s="35" t="inlineStr">
        <is>
          <t>Vloerverwarming</t>
        </is>
      </c>
      <c r="B17" s="8" t="inlineStr">
        <is>
          <t>MAGNUM H64-CC + master WiFi-thermostaat</t>
        </is>
      </c>
      <c r="C17" s="17" t="inlineStr">
        <is>
          <t>behouden</t>
        </is>
      </c>
      <c r="D17" s="8" t="inlineStr">
        <is>
          <t>123InstallatieMaterialen</t>
        </is>
      </c>
      <c r="E17" s="36" t="n">
        <v>213.74</v>
      </c>
      <c r="F17" s="37" t="inlineStr">
        <is>
          <t>Nee</t>
        </is>
      </c>
      <c r="G17" s="37" t="n"/>
      <c r="H17" s="37" t="n"/>
    </row>
    <row r="18">
      <c r="A18" s="35" t="inlineStr">
        <is>
          <t>Vloerverwarming</t>
        </is>
      </c>
      <c r="B18" s="8" t="inlineStr">
        <is>
          <t>MAGNUM H64-ST slave thermostaat</t>
        </is>
      </c>
      <c r="C18" s="17" t="inlineStr">
        <is>
          <t>behouden</t>
        </is>
      </c>
      <c r="D18" s="8" t="inlineStr">
        <is>
          <t>123InstallatieMaterialen</t>
        </is>
      </c>
      <c r="E18" s="36" t="n">
        <v>52.92</v>
      </c>
      <c r="F18" s="37" t="inlineStr">
        <is>
          <t>Nee</t>
        </is>
      </c>
      <c r="G18" s="37" t="n"/>
      <c r="H18" s="37" t="n"/>
    </row>
    <row r="19">
      <c r="A19" s="35" t="inlineStr">
        <is>
          <t>Vloerverwarming</t>
        </is>
      </c>
      <c r="B19" s="8" t="inlineStr">
        <is>
          <t>tado° Draadloze Slimme Thermostaat X Starterskit</t>
        </is>
      </c>
      <c r="C19" s="17" t="inlineStr">
        <is>
          <t>behouden</t>
        </is>
      </c>
      <c r="D19" s="8" t="inlineStr">
        <is>
          <t>tado° Shop</t>
        </is>
      </c>
      <c r="E19" s="36" t="n">
        <v>129</v>
      </c>
      <c r="F19" s="37" t="inlineStr">
        <is>
          <t>Nee</t>
        </is>
      </c>
      <c r="G19" s="37" t="n"/>
      <c r="H19" s="37" t="n"/>
    </row>
    <row r="20">
      <c r="A20" s="35" t="inlineStr">
        <is>
          <t>Vloerverwarming</t>
        </is>
      </c>
      <c r="B20" s="8" t="inlineStr">
        <is>
          <t>tado° Slimme Thermostaat X Starterskit bedraad + Bridge X</t>
        </is>
      </c>
      <c r="C20" s="10" t="inlineStr">
        <is>
          <t>upgrade</t>
        </is>
      </c>
      <c r="D20" s="8" t="inlineStr">
        <is>
          <t>tado° Shop</t>
        </is>
      </c>
      <c r="E20" s="36" t="n">
        <v>129.99</v>
      </c>
      <c r="F20" s="37" t="inlineStr">
        <is>
          <t>Nee</t>
        </is>
      </c>
      <c r="G20" s="37" t="n"/>
      <c r="H20" s="37" t="n"/>
    </row>
    <row r="21">
      <c r="A21" s="35" t="inlineStr">
        <is>
          <t>Vloerverwarming</t>
        </is>
      </c>
      <c r="B21" s="8" t="inlineStr">
        <is>
          <t>tado° Slimme Thermostaat X bedraad (uitbreiding)</t>
        </is>
      </c>
      <c r="C21" s="10" t="inlineStr">
        <is>
          <t>upgrade</t>
        </is>
      </c>
      <c r="D21" s="8" t="inlineStr">
        <is>
          <t>tado° Shop</t>
        </is>
      </c>
      <c r="E21" s="36" t="n">
        <v>100</v>
      </c>
      <c r="F21" s="37" t="inlineStr">
        <is>
          <t>Nee</t>
        </is>
      </c>
      <c r="G21" s="37" t="n"/>
      <c r="H21" s="37" t="n"/>
    </row>
    <row r="22">
      <c r="A22" s="35" t="inlineStr">
        <is>
          <t>Vloerverwarming</t>
        </is>
      </c>
      <c r="B22" s="8" t="inlineStr">
        <is>
          <t>tado° Bridge X (extra indien nodig)</t>
        </is>
      </c>
      <c r="C22" s="17" t="inlineStr">
        <is>
          <t>behouden</t>
        </is>
      </c>
      <c r="D22" s="8" t="inlineStr">
        <is>
          <t>Coolblue / tado°</t>
        </is>
      </c>
      <c r="E22" s="36" t="n">
        <v>68</v>
      </c>
      <c r="F22" s="37" t="inlineStr">
        <is>
          <t>Nee</t>
        </is>
      </c>
      <c r="G22" s="37" t="n"/>
      <c r="H22" s="37" t="n"/>
    </row>
  </sheetData>
  <mergeCells count="1">
    <mergeCell ref="A1:H1"/>
  </mergeCells>
  <dataValidations count="1">
    <dataValidation sqref="F4:F22" showDropDown="0" showInputMessage="0" showErrorMessage="0" allowBlank="0" type="list">
      <formula1>"Nee,Ja,Overslaan"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2026-08-22T16:27:06Z</dcterms:created>
  <dcterms:modified xsi:type="dcterms:W3CDTF">2026-08-22T16:27:06Z</dcterms:modified>
</cp:coreProperties>
</file>