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NL-leverbaarheid" sheetId="2" state="visible" r:id="rId2"/>
    <sheet name="Parameters" sheetId="3" state="visible" r:id="rId3"/>
    <sheet name="Boodschappenlijst" sheetId="4" state="visible" r:id="rId4"/>
    <sheet name="All-in-check" sheetId="5" state="visible" r:id="rId5"/>
    <sheet name="Verzending" sheetId="6" state="visible" r:id="rId6"/>
    <sheet name="Regeling-keuze" sheetId="7" state="visible" r:id="rId7"/>
    <sheet name="Kwaliteitskeuzes" sheetId="8" state="visible" r:id="rId8"/>
    <sheet name="Prijszoek-top5" sheetId="9" state="visible" r:id="rId9"/>
    <sheet name="Tado-aansluiting" sheetId="10" state="visible" r:id="rId10"/>
    <sheet name="Bestelchecklist" sheetId="11" state="visible" r:id="rId11"/>
  </sheets>
  <definedNames>
    <definedName name="Oppervlakte_m2">Parameters!$B$4</definedName>
    <definedName name="Aantal_groepen">Parameters!$B$5</definedName>
    <definedName name="Aantal_ruimten">Parameters!$B$6</definedName>
    <definedName name="Egaline_mm">Parameters!$B$7</definedName>
    <definedName name="_xlnm._FilterDatabase" localSheetId="3" hidden="1">'Boodschappenlijst'!$A$5:$T$24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C0392B"/>
      <sz val="16"/>
    </font>
    <font>
      <b val="1"/>
      <sz val="14"/>
    </font>
    <font>
      <b val="1"/>
      <color rgb="00FFFFFF"/>
      <sz val="11"/>
    </font>
    <font>
      <i val="1"/>
      <color rgb="00C0392B"/>
    </font>
    <font>
      <b val="1"/>
      <sz val="12"/>
    </font>
    <font>
      <b val="1"/>
      <color rgb="00FFFFFF"/>
    </font>
    <font>
      <b val="1"/>
      <color rgb="001F7A3F"/>
    </font>
    <font>
      <b val="1"/>
    </font>
    <font>
      <b val="1"/>
      <color rgb="001F7A3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3" fillId="5" borderId="0" pivotButton="0" quotePrefix="0" xfId="0"/>
    <xf numFmtId="0" fontId="2" fillId="0" borderId="0" pivotButton="0" quotePrefix="0" xfId="0"/>
    <xf numFmtId="0" fontId="5" fillId="3" borderId="0" pivotButton="0" quotePrefix="0" xfId="0"/>
    <xf numFmtId="4" fontId="0" fillId="0" borderId="0" pivotButton="0" quotePrefix="0" xfId="0"/>
    <xf numFmtId="4" fontId="0" fillId="5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2" borderId="1" pivotButton="0" quotePrefix="0" xfId="0"/>
    <xf numFmtId="0" fontId="6" fillId="0" borderId="0" pivotButton="0" quotePrefix="0" xfId="0"/>
    <xf numFmtId="0" fontId="5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1" fontId="0" fillId="5" borderId="1" pivotButton="0" quotePrefix="0" xfId="0"/>
    <xf numFmtId="4" fontId="0" fillId="0" borderId="1" pivotButton="0" quotePrefix="0" xfId="0"/>
    <xf numFmtId="0" fontId="0" fillId="6" borderId="1" pivotButton="0" quotePrefix="0" xfId="0"/>
    <xf numFmtId="1" fontId="0" fillId="0" borderId="1" pivotButton="0" quotePrefix="0" xfId="0"/>
    <xf numFmtId="0" fontId="7" fillId="2" borderId="1" pivotButton="0" quotePrefix="0" xfId="0"/>
    <xf numFmtId="0" fontId="8" fillId="3" borderId="0" pivotButton="0" quotePrefix="0" xfId="0"/>
    <xf numFmtId="0" fontId="9" fillId="0" borderId="0" pivotButton="0" quotePrefix="0" xfId="0"/>
    <xf numFmtId="0" fontId="11" fillId="5" borderId="0" pivotButton="0" quotePrefix="0" xfId="0"/>
    <xf numFmtId="0" fontId="8" fillId="3" borderId="1" pivotButton="0" quotePrefix="0" xfId="0"/>
    <xf numFmtId="0" fontId="10" fillId="5" borderId="1" pivotButton="0" quotePrefix="0" xfId="0"/>
    <xf numFmtId="0" fontId="10" fillId="0" borderId="0" pivotButton="0" quotePrefix="0" xfId="0"/>
    <xf numFmtId="0" fontId="0" fillId="2" borderId="0" pivotButton="0" quotePrefix="0" xfId="0"/>
    <xf numFmtId="0" fontId="10" fillId="5" borderId="0" pivotButton="0" quotePrefix="0" xfId="0"/>
    <xf numFmtId="0" fontId="12" fillId="2" borderId="1" pivotButton="0" quotePrefix="0" xfId="0"/>
    <xf numFmtId="0" fontId="0" fillId="5" borderId="0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Vloerverwarming — SlimFit 12 op BETON (max 30 mm). Speel met m² op Parameters</t>
        </is>
      </c>
    </row>
    <row r="3">
      <c r="A3" t="inlineStr">
        <is>
          <t>Huidige oppervlakte</t>
        </is>
      </c>
      <c r="B3" s="2">
        <f>Parameters!B4</f>
        <v/>
      </c>
      <c r="C3" t="inlineStr">
        <is>
          <t>m²</t>
        </is>
      </c>
    </row>
    <row r="4">
      <c r="A4" t="inlineStr">
        <is>
          <t>Groepen / ruimten</t>
        </is>
      </c>
      <c r="B4">
        <f>Parameters!B5&amp;" groepen · "&amp;Parameters!B6&amp;" ruimten"</f>
        <v/>
      </c>
    </row>
    <row r="6">
      <c r="A6" t="inlineStr">
        <is>
          <t>Gekozen regeling</t>
        </is>
      </c>
      <c r="B6">
        <f>'Regeling-keuze'!B3</f>
        <v/>
      </c>
    </row>
    <row r="8">
      <c r="A8" s="3" t="inlineStr">
        <is>
          <t>TOTALEN (artikelen + verzending)</t>
        </is>
      </c>
    </row>
    <row r="9">
      <c r="A9" s="4" t="inlineStr">
        <is>
          <t>Optie</t>
        </is>
      </c>
      <c r="B9" s="4" t="inlineStr">
        <is>
          <t>Artikelen</t>
        </is>
      </c>
      <c r="C9" s="4" t="inlineStr">
        <is>
          <t>Verzending</t>
        </is>
      </c>
      <c r="D9" s="4" t="inlineStr">
        <is>
          <t>All-in</t>
        </is>
      </c>
    </row>
    <row r="10">
      <c r="A10" t="inlineStr">
        <is>
          <t>Basis (altijd)</t>
        </is>
      </c>
      <c r="B10" s="5">
        <f>SUMIF(Boodschappenlijst!C:C,"altijd",Boodschappenlijst!N:N)</f>
        <v/>
      </c>
      <c r="C10" s="5">
        <f>Verzending!B14</f>
        <v/>
      </c>
      <c r="D10" s="5">
        <f>B10+C10</f>
        <v/>
      </c>
    </row>
    <row r="11">
      <c r="A11" t="inlineStr">
        <is>
          <t>+ Tado bedraad (aanbevolen)</t>
        </is>
      </c>
      <c r="B11" s="5">
        <f>B10+SUMIF(Boodschappenlijst!C:C,"tado_bedraad",Boodschappenlijst!N:N)</f>
        <v/>
      </c>
      <c r="C11" s="5">
        <f>Verzending!B15</f>
        <v/>
      </c>
      <c r="D11" s="6">
        <f>B11+C11</f>
        <v/>
      </c>
    </row>
    <row r="12">
      <c r="A12" t="inlineStr">
        <is>
          <t>+ Tado draadloos</t>
        </is>
      </c>
      <c r="B12" s="5">
        <f>B10+SUMIF(Boodschappenlijst!C:C,"tado_draadloos",Boodschappenlijst!N:N)</f>
        <v/>
      </c>
      <c r="C12" s="5">
        <f>Verzending!B15</f>
        <v/>
      </c>
      <c r="D12" s="5">
        <f>B12+C12</f>
        <v/>
      </c>
    </row>
    <row r="13">
      <c r="A13" t="inlineStr">
        <is>
          <t>+ Magnum H64</t>
        </is>
      </c>
      <c r="B13" s="5">
        <f>B10+SUMIF(Boodschappenlijst!C:C,"h64",Boodschappenlijst!N:N)</f>
        <v/>
      </c>
      <c r="C13" s="5">
        <f>Verzending!B16</f>
        <v/>
      </c>
      <c r="D13" s="5">
        <f>B13+C13</f>
        <v/>
      </c>
    </row>
    <row r="15">
      <c r="A15" s="3" t="inlineStr">
        <is>
          <t>Zo gebruiken</t>
        </is>
      </c>
    </row>
    <row r="16">
      <c r="A16" t="inlineStr">
        <is>
          <t>1. Parameters: m², groepen, ruimten, opbouwhoogte (17–22 mm Magnum; max 30).</t>
        </is>
      </c>
    </row>
    <row r="17">
      <c r="A17" t="inlineStr">
        <is>
          <t>2. Ondergrond = beton (vast). Nat 16 mm past NIET in 3 cm.</t>
        </is>
      </c>
    </row>
    <row r="18">
      <c r="A18" t="inlineStr">
        <is>
          <t>3. Boodschappenlijst = SlimFit + PE-RT 12 + Kreisel vezel-egaline.</t>
        </is>
      </c>
    </row>
    <row r="19">
      <c r="A19" t="inlineStr">
        <is>
          <t>4. Check Verzending + hoogte-check Parameters!B21.</t>
        </is>
      </c>
    </row>
    <row r="21">
      <c r="A21" t="inlineStr">
        <is>
          <t>Hardheid: beton helpt sterk. Vul egaline tot 22 mm (desnoods tot 28–30 mm). Tegels als afwerking = stevigst.</t>
        </is>
      </c>
    </row>
    <row r="22">
      <c r="A22" t="inlineStr">
        <is>
          <t>Infrezen in beton: alleen als constructie/dikte het toelaat (vaak niet in constructief beton) — laat beoordelen. Anders: deze SlimFit-BOM.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22" customWidth="1" min="3" max="3"/>
    <col width="42" customWidth="1" min="4" max="4"/>
    <col width="28" customWidth="1" min="5" max="5"/>
    <col width="32" customWidth="1" min="6" max="6"/>
  </cols>
  <sheetData>
    <row r="1">
      <c r="A1" s="1" t="inlineStr">
        <is>
          <t>NL-leverbaarheid — SlimFit op beton ≤30 mm</t>
        </is>
      </c>
    </row>
    <row r="2">
      <c r="A2" s="25" t="inlineStr">
        <is>
          <t>Buitenland mag, mits verzendkosten + levertijd expliciet meegenomen zijn. Schakelaar actuators: Parameters!B8.</t>
        </is>
      </c>
    </row>
    <row r="4">
      <c r="A4" t="inlineStr">
        <is>
          <t>Huidige actuators-keuze</t>
        </is>
      </c>
      <c r="B4" s="26">
        <f>Parameters!B8</f>
        <v/>
      </c>
    </row>
    <row r="6">
      <c r="A6" s="19" t="inlineStr">
        <is>
          <t>Artikel</t>
        </is>
      </c>
      <c r="B6" s="19" t="inlineStr">
        <is>
          <t>Land</t>
        </is>
      </c>
      <c r="C6" s="19" t="inlineStr">
        <is>
          <t>Webshop</t>
        </is>
      </c>
      <c r="D6" s="19" t="inlineStr">
        <is>
          <t>Levertijd naar NL</t>
        </is>
      </c>
      <c r="E6" s="19" t="inlineStr">
        <is>
          <t>Verzending meegenomen?</t>
        </is>
      </c>
      <c r="F6" s="19" t="inlineStr">
        <is>
          <t>Status</t>
        </is>
      </c>
    </row>
    <row r="7">
      <c r="A7">
        <f>Boodschappenlijst!E6</f>
        <v/>
      </c>
      <c r="B7">
        <f>Boodschappenlijst!R6</f>
        <v/>
      </c>
      <c r="C7">
        <f>Boodschappenlijst!P6</f>
        <v/>
      </c>
      <c r="D7">
        <f>Boodschappenlijst!O6</f>
        <v/>
      </c>
      <c r="E7">
        <f>IF(OR(Boodschappenlijst!R6="NL",Boodschappenlijst!R6=""),"n.v.t. (NL)",IF(ISNUMBER(SEARCH("DE",Boodschappenlijst!R6&amp;"")),"JA — zie Verzending","check"))</f>
        <v/>
      </c>
      <c r="F7">
        <f>Boodschappenlijst!U6</f>
        <v/>
      </c>
    </row>
    <row r="8">
      <c r="A8">
        <f>Boodschappenlijst!E7</f>
        <v/>
      </c>
      <c r="B8">
        <f>Boodschappenlijst!R7</f>
        <v/>
      </c>
      <c r="C8">
        <f>Boodschappenlijst!P7</f>
        <v/>
      </c>
      <c r="D8">
        <f>Boodschappenlijst!O7</f>
        <v/>
      </c>
      <c r="E8">
        <f>IF(OR(Boodschappenlijst!R7="NL",Boodschappenlijst!R7=""),"n.v.t. (NL)",IF(ISNUMBER(SEARCH("DE",Boodschappenlijst!R7&amp;"")),"JA — zie Verzending","check"))</f>
        <v/>
      </c>
      <c r="F8">
        <f>Boodschappenlijst!U7</f>
        <v/>
      </c>
    </row>
    <row r="9">
      <c r="A9">
        <f>Boodschappenlijst!E8</f>
        <v/>
      </c>
      <c r="B9">
        <f>Boodschappenlijst!R8</f>
        <v/>
      </c>
      <c r="C9">
        <f>Boodschappenlijst!P8</f>
        <v/>
      </c>
      <c r="D9">
        <f>Boodschappenlijst!O8</f>
        <v/>
      </c>
      <c r="E9">
        <f>IF(OR(Boodschappenlijst!R8="NL",Boodschappenlijst!R8=""),"n.v.t. (NL)",IF(ISNUMBER(SEARCH("DE",Boodschappenlijst!R8&amp;"")),"JA — zie Verzending","check"))</f>
        <v/>
      </c>
      <c r="F9">
        <f>Boodschappenlijst!U8</f>
        <v/>
      </c>
    </row>
    <row r="10">
      <c r="A10">
        <f>Boodschappenlijst!E9</f>
        <v/>
      </c>
      <c r="B10">
        <f>Boodschappenlijst!R9</f>
        <v/>
      </c>
      <c r="C10">
        <f>Boodschappenlijst!P9</f>
        <v/>
      </c>
      <c r="D10">
        <f>Boodschappenlijst!O9</f>
        <v/>
      </c>
      <c r="E10">
        <f>IF(OR(Boodschappenlijst!R9="NL",Boodschappenlijst!R9=""),"n.v.t. (NL)",IF(ISNUMBER(SEARCH("DE",Boodschappenlijst!R9&amp;"")),"JA — zie Verzending","check"))</f>
        <v/>
      </c>
      <c r="F10">
        <f>Boodschappenlijst!U9</f>
        <v/>
      </c>
    </row>
    <row r="11">
      <c r="A11">
        <f>Boodschappenlijst!E10</f>
        <v/>
      </c>
      <c r="B11">
        <f>Boodschappenlijst!R10</f>
        <v/>
      </c>
      <c r="C11">
        <f>Boodschappenlijst!P10</f>
        <v/>
      </c>
      <c r="D11">
        <f>Boodschappenlijst!O10</f>
        <v/>
      </c>
      <c r="E11">
        <f>IF(OR(Boodschappenlijst!R10="NL",Boodschappenlijst!R10=""),"n.v.t. (NL)",IF(ISNUMBER(SEARCH("DE",Boodschappenlijst!R10&amp;"")),"JA — zie Verzending","check"))</f>
        <v/>
      </c>
      <c r="F11">
        <f>Boodschappenlijst!U10</f>
        <v/>
      </c>
    </row>
    <row r="12">
      <c r="A12">
        <f>Boodschappenlijst!E11</f>
        <v/>
      </c>
      <c r="B12">
        <f>Boodschappenlijst!R11</f>
        <v/>
      </c>
      <c r="C12">
        <f>Boodschappenlijst!P11</f>
        <v/>
      </c>
      <c r="D12">
        <f>Boodschappenlijst!O11</f>
        <v/>
      </c>
      <c r="E12">
        <f>IF(OR(Boodschappenlijst!R11="NL",Boodschappenlijst!R11=""),"n.v.t. (NL)",IF(ISNUMBER(SEARCH("DE",Boodschappenlijst!R11&amp;"")),"JA — zie Verzending","check"))</f>
        <v/>
      </c>
      <c r="F12">
        <f>Boodschappenlijst!U11</f>
        <v/>
      </c>
    </row>
    <row r="13">
      <c r="A13">
        <f>Boodschappenlijst!E12</f>
        <v/>
      </c>
      <c r="B13">
        <f>Boodschappenlijst!R12</f>
        <v/>
      </c>
      <c r="C13">
        <f>Boodschappenlijst!P12</f>
        <v/>
      </c>
      <c r="D13">
        <f>Boodschappenlijst!O12</f>
        <v/>
      </c>
      <c r="E13">
        <f>IF(OR(Boodschappenlijst!R12="NL",Boodschappenlijst!R12=""),"n.v.t. (NL)",IF(ISNUMBER(SEARCH("DE",Boodschappenlijst!R12&amp;"")),"JA — zie Verzending","check"))</f>
        <v/>
      </c>
      <c r="F13">
        <f>Boodschappenlijst!U12</f>
        <v/>
      </c>
    </row>
    <row r="14">
      <c r="A14">
        <f>Boodschappenlijst!E13</f>
        <v/>
      </c>
      <c r="B14">
        <f>Boodschappenlijst!R13</f>
        <v/>
      </c>
      <c r="C14">
        <f>Boodschappenlijst!P13</f>
        <v/>
      </c>
      <c r="D14">
        <f>Boodschappenlijst!O13</f>
        <v/>
      </c>
      <c r="E14">
        <f>IF(OR(Boodschappenlijst!R13="NL",Boodschappenlijst!R13=""),"n.v.t. (NL)",IF(ISNUMBER(SEARCH("DE",Boodschappenlijst!R13&amp;"")),"JA — zie Verzending","check"))</f>
        <v/>
      </c>
      <c r="F14">
        <f>Boodschappenlijst!U13</f>
        <v/>
      </c>
    </row>
    <row r="15">
      <c r="A15">
        <f>Boodschappenlijst!E14</f>
        <v/>
      </c>
      <c r="B15">
        <f>Boodschappenlijst!R14</f>
        <v/>
      </c>
      <c r="C15">
        <f>Boodschappenlijst!P14</f>
        <v/>
      </c>
      <c r="D15">
        <f>Boodschappenlijst!O14</f>
        <v/>
      </c>
      <c r="E15">
        <f>IF(OR(Boodschappenlijst!R14="NL",Boodschappenlijst!R14=""),"n.v.t. (NL)",IF(ISNUMBER(SEARCH("DE",Boodschappenlijst!R14&amp;"")),"JA — zie Verzending","check"))</f>
        <v/>
      </c>
      <c r="F15">
        <f>Boodschappenlijst!U14</f>
        <v/>
      </c>
    </row>
    <row r="16">
      <c r="A16">
        <f>Boodschappenlijst!E15</f>
        <v/>
      </c>
      <c r="B16">
        <f>Boodschappenlijst!R15</f>
        <v/>
      </c>
      <c r="C16">
        <f>Boodschappenlijst!P15</f>
        <v/>
      </c>
      <c r="D16">
        <f>Boodschappenlijst!O15</f>
        <v/>
      </c>
      <c r="E16">
        <f>IF(OR(Boodschappenlijst!R15="NL",Boodschappenlijst!R15=""),"n.v.t. (NL)",IF(ISNUMBER(SEARCH("DE",Boodschappenlijst!R15&amp;"")),"JA — zie Verzending","check"))</f>
        <v/>
      </c>
      <c r="F16">
        <f>Boodschappenlijst!U15</f>
        <v/>
      </c>
    </row>
    <row r="17">
      <c r="A17">
        <f>Boodschappenlijst!E16</f>
        <v/>
      </c>
      <c r="B17">
        <f>Boodschappenlijst!R16</f>
        <v/>
      </c>
      <c r="C17">
        <f>Boodschappenlijst!P16</f>
        <v/>
      </c>
      <c r="D17">
        <f>Boodschappenlijst!O16</f>
        <v/>
      </c>
      <c r="E17">
        <f>IF(OR(Boodschappenlijst!R16="NL",Boodschappenlijst!R16=""),"n.v.t. (NL)",IF(ISNUMBER(SEARCH("DE",Boodschappenlijst!R16&amp;"")),"JA — zie Verzending","check"))</f>
        <v/>
      </c>
      <c r="F17">
        <f>Boodschappenlijst!U16</f>
        <v/>
      </c>
    </row>
    <row r="18">
      <c r="A18">
        <f>Boodschappenlijst!E17</f>
        <v/>
      </c>
      <c r="B18">
        <f>Boodschappenlijst!R17</f>
        <v/>
      </c>
      <c r="C18">
        <f>Boodschappenlijst!P17</f>
        <v/>
      </c>
      <c r="D18">
        <f>Boodschappenlijst!O17</f>
        <v/>
      </c>
      <c r="E18">
        <f>IF(OR(Boodschappenlijst!R17="NL",Boodschappenlijst!R17=""),"n.v.t. (NL)",IF(ISNUMBER(SEARCH("DE",Boodschappenlijst!R17&amp;"")),"JA — zie Verzending","check"))</f>
        <v/>
      </c>
      <c r="F18">
        <f>Boodschappenlijst!U17</f>
        <v/>
      </c>
    </row>
    <row r="19">
      <c r="A19">
        <f>Boodschappenlijst!E18</f>
        <v/>
      </c>
      <c r="B19">
        <f>Boodschappenlijst!R18</f>
        <v/>
      </c>
      <c r="C19">
        <f>Boodschappenlijst!P18</f>
        <v/>
      </c>
      <c r="D19">
        <f>Boodschappenlijst!O18</f>
        <v/>
      </c>
      <c r="E19">
        <f>IF(OR(Boodschappenlijst!R18="NL",Boodschappenlijst!R18=""),"n.v.t. (NL)",IF(ISNUMBER(SEARCH("DE",Boodschappenlijst!R18&amp;"")),"JA — zie Verzending","check"))</f>
        <v/>
      </c>
      <c r="F19">
        <f>Boodschappenlijst!U18</f>
        <v/>
      </c>
    </row>
    <row r="20">
      <c r="A20">
        <f>Boodschappenlijst!E19</f>
        <v/>
      </c>
      <c r="B20">
        <f>Boodschappenlijst!R19</f>
        <v/>
      </c>
      <c r="C20">
        <f>Boodschappenlijst!P19</f>
        <v/>
      </c>
      <c r="D20">
        <f>Boodschappenlijst!O19</f>
        <v/>
      </c>
      <c r="E20">
        <f>IF(OR(Boodschappenlijst!R19="NL",Boodschappenlijst!R19=""),"n.v.t. (NL)",IF(ISNUMBER(SEARCH("DE",Boodschappenlijst!R19&amp;"")),"JA — zie Verzending","check"))</f>
        <v/>
      </c>
      <c r="F20">
        <f>Boodschappenlijst!U19</f>
        <v/>
      </c>
    </row>
    <row r="21">
      <c r="A21">
        <f>Boodschappenlijst!E20</f>
        <v/>
      </c>
      <c r="B21">
        <f>Boodschappenlijst!R20</f>
        <v/>
      </c>
      <c r="C21">
        <f>Boodschappenlijst!P20</f>
        <v/>
      </c>
      <c r="D21">
        <f>Boodschappenlijst!O20</f>
        <v/>
      </c>
      <c r="E21">
        <f>IF(OR(Boodschappenlijst!R20="NL",Boodschappenlijst!R20=""),"n.v.t. (NL)",IF(ISNUMBER(SEARCH("DE",Boodschappenlijst!R20&amp;"")),"JA — zie Verzending","check"))</f>
        <v/>
      </c>
      <c r="F21">
        <f>Boodschappenlijst!U20</f>
        <v/>
      </c>
    </row>
    <row r="22">
      <c r="A22">
        <f>Boodschappenlijst!E21</f>
        <v/>
      </c>
      <c r="B22">
        <f>Boodschappenlijst!R21</f>
        <v/>
      </c>
      <c r="C22">
        <f>Boodschappenlijst!P21</f>
        <v/>
      </c>
      <c r="D22">
        <f>Boodschappenlijst!O21</f>
        <v/>
      </c>
      <c r="E22">
        <f>IF(OR(Boodschappenlijst!R21="NL",Boodschappenlijst!R21=""),"n.v.t. (NL)",IF(ISNUMBER(SEARCH("DE",Boodschappenlijst!R21&amp;"")),"JA — zie Verzending","check"))</f>
        <v/>
      </c>
      <c r="F22">
        <f>Boodschappenlijst!U21</f>
        <v/>
      </c>
    </row>
    <row r="23">
      <c r="A23">
        <f>Boodschappenlijst!E22</f>
        <v/>
      </c>
      <c r="B23">
        <f>Boodschappenlijst!R22</f>
        <v/>
      </c>
      <c r="C23">
        <f>Boodschappenlijst!P22</f>
        <v/>
      </c>
      <c r="D23">
        <f>Boodschappenlijst!O22</f>
        <v/>
      </c>
      <c r="E23">
        <f>IF(OR(Boodschappenlijst!R22="NL",Boodschappenlijst!R22=""),"n.v.t. (NL)",IF(ISNUMBER(SEARCH("DE",Boodschappenlijst!R22&amp;"")),"JA — zie Verzending","check"))</f>
        <v/>
      </c>
      <c r="F23">
        <f>Boodschappenlijst!U22</f>
        <v/>
      </c>
    </row>
    <row r="24">
      <c r="A24">
        <f>Boodschappenlijst!E23</f>
        <v/>
      </c>
      <c r="B24">
        <f>Boodschappenlijst!R23</f>
        <v/>
      </c>
      <c r="C24">
        <f>Boodschappenlijst!P23</f>
        <v/>
      </c>
      <c r="D24">
        <f>Boodschappenlijst!O23</f>
        <v/>
      </c>
      <c r="E24">
        <f>IF(OR(Boodschappenlijst!R23="NL",Boodschappenlijst!R23=""),"n.v.t. (NL)",IF(ISNUMBER(SEARCH("DE",Boodschappenlijst!R23&amp;"")),"JA — zie Verzending","check"))</f>
        <v/>
      </c>
      <c r="F24">
        <f>Boodschappenlijst!U23</f>
        <v/>
      </c>
    </row>
    <row r="25">
      <c r="A25">
        <f>Boodschappenlijst!E24</f>
        <v/>
      </c>
      <c r="B25">
        <f>Boodschappenlijst!R24</f>
        <v/>
      </c>
      <c r="C25">
        <f>Boodschappenlijst!P24</f>
        <v/>
      </c>
      <c r="D25">
        <f>Boodschappenlijst!O24</f>
        <v/>
      </c>
      <c r="E25">
        <f>IF(OR(Boodschappenlijst!R24="NL",Boodschappenlijst!R24=""),"n.v.t. (NL)",IF(ISNUMBER(SEARCH("DE",Boodschappenlijst!R24&amp;"")),"JA — zie Verzending","check"))</f>
        <v/>
      </c>
      <c r="F25">
        <f>Boodschappenlijst!U24</f>
        <v/>
      </c>
    </row>
    <row r="27">
      <c r="A27" s="3" t="inlineStr">
        <is>
          <t>Samenvatting</t>
        </is>
      </c>
    </row>
    <row r="28">
      <c r="A28" t="inlineStr">
        <is>
          <t>• SlimFit-BOM: NL-webshops + optioneel eibhandel DE→NL voor actuators.</t>
        </is>
      </c>
    </row>
    <row r="29">
      <c r="A29" t="inlineStr">
        <is>
          <t>• Hoogte: Parameters B7≤B10 (30 mm). Nat systeem verwijderd.</t>
        </is>
      </c>
    </row>
    <row r="30">
      <c r="A30" t="inlineStr">
        <is>
          <t>• Ondergrond beton: primer verplicht (Kreisel in lijst).</t>
        </is>
      </c>
    </row>
    <row r="31">
      <c r="A31" t="inlineStr">
        <is>
          <t>• Actuators: Parameters!B8 DE→NL of NL zeker.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70" customWidth="1" min="4" max="4"/>
  </cols>
  <sheetData>
    <row r="1">
      <c r="A1" s="1" t="inlineStr">
        <is>
          <t>STUURVARIABELEN — beton + max. 30 mm opbouw; gele cellen aanpassen</t>
        </is>
      </c>
    </row>
    <row r="3">
      <c r="A3" s="3" t="inlineStr">
        <is>
          <t>PROJECT / RANDVOORWAARDEN</t>
        </is>
      </c>
    </row>
    <row r="4">
      <c r="A4" t="inlineStr">
        <is>
          <t>Oppervlakte</t>
        </is>
      </c>
      <c r="B4" s="7" t="n">
        <v>30</v>
      </c>
      <c r="C4" t="inlineStr">
        <is>
          <t>m²</t>
        </is>
      </c>
      <c r="D4" t="inlineStr">
        <is>
          <t>← KEY</t>
        </is>
      </c>
    </row>
    <row r="5">
      <c r="A5" t="inlineStr">
        <is>
          <t>Aantal groepen</t>
        </is>
      </c>
      <c r="B5" s="8" t="n">
        <v>4</v>
      </c>
      <c r="C5" t="inlineStr">
        <is>
          <t>st</t>
        </is>
      </c>
      <c r="D5" t="inlineStr">
        <is>
          <t>max ~100 m buis/groep</t>
        </is>
      </c>
    </row>
    <row r="6">
      <c r="A6" t="inlineStr">
        <is>
          <t>Aantal ruimten</t>
        </is>
      </c>
      <c r="B6" s="8" t="n">
        <v>3</v>
      </c>
      <c r="C6" t="inlineStr">
        <is>
          <t>st</t>
        </is>
      </c>
      <c r="D6" t="inlineStr">
        <is>
          <t>Tado/H64</t>
        </is>
      </c>
    </row>
    <row r="7">
      <c r="A7" t="inlineStr">
        <is>
          <t>Totale opbouw VV+egaline</t>
        </is>
      </c>
      <c r="B7" s="9" t="n">
        <v>22</v>
      </c>
      <c r="C7" t="inlineStr">
        <is>
          <t>mm</t>
        </is>
      </c>
      <c r="D7" t="inlineStr">
        <is>
          <t>Magnum SlimFit 12: 17–22 mm. Jouw max = 30 mm. Hoger (tot 28–30) = meer dekking = harder.</t>
        </is>
      </c>
    </row>
    <row r="8">
      <c r="A8" t="inlineStr">
        <is>
          <t>Actuators leveren vanuit</t>
        </is>
      </c>
      <c r="B8" s="27" t="inlineStr">
        <is>
          <t>DE→NL (eibhandel, goedkoopst)</t>
        </is>
      </c>
      <c r="C8" t="inlineStr">
        <is>
          <t>keuze</t>
        </is>
      </c>
      <c r="D8" t="inlineStr">
        <is>
          <t>Of: "NL zeker (VerwarmingOnline)"</t>
        </is>
      </c>
    </row>
    <row r="9">
      <c r="A9" s="3" t="inlineStr">
        <is>
          <t>Ondergrond</t>
        </is>
      </c>
      <c r="B9" s="25" t="inlineStr">
        <is>
          <t>Beton</t>
        </is>
      </c>
      <c r="C9" t="inlineStr">
        <is>
          <t>vast</t>
        </is>
      </c>
      <c r="D9" t="inlineStr">
        <is>
          <t>Goed: stijve basis → minder kans op golven dan hout</t>
        </is>
      </c>
    </row>
    <row r="10">
      <c r="A10" t="inlineStr">
        <is>
          <t>Max. beschikbare hoogte</t>
        </is>
      </c>
      <c r="B10" s="25" t="n">
        <v>30</v>
      </c>
      <c r="C10" t="inlineStr">
        <is>
          <t>mm</t>
        </is>
      </c>
      <c r="D10" t="inlineStr">
        <is>
          <t>Harde limiet; nat 16 mm + zandcement past NIET</t>
        </is>
      </c>
    </row>
    <row r="11">
      <c r="A11" t="inlineStr">
        <is>
          <t>SlimFit pakken</t>
        </is>
      </c>
      <c r="B11">
        <f>CEILING(B4/3.75,1)</f>
        <v/>
      </c>
      <c r="C11" t="inlineStr">
        <is>
          <t>pak à 3,75 m²</t>
        </is>
      </c>
    </row>
    <row r="12">
      <c r="A12" t="inlineStr">
        <is>
          <t>AFGELEIDE WAARDEN (auto)</t>
        </is>
      </c>
      <c r="B12">
        <f>CEILING(B4*1.5*B7/25,1)</f>
        <v/>
      </c>
      <c r="C12" t="inlineStr">
        <is>
          <t>zak à 25 kg</t>
        </is>
      </c>
    </row>
    <row r="13">
      <c r="A13" t="inlineStr">
        <is>
          <t>Buislengte (indicatie)</t>
        </is>
      </c>
      <c r="B13">
        <f>ROUND(B4*10,0)</f>
        <v/>
      </c>
      <c r="C13" t="inlineStr">
        <is>
          <t>m</t>
        </is>
      </c>
      <c r="D13" t="inlineStr">
        <is>
          <t>≈10 m/m² SlimFit 12 (h.o.h. 12,5 cm)</t>
        </is>
      </c>
    </row>
    <row r="14">
      <c r="A14" t="inlineStr">
        <is>
          <t>SlimFit pakken</t>
        </is>
      </c>
      <c r="B14">
        <f>CEILING(B4/3.75,1)</f>
        <v/>
      </c>
      <c r="C14" t="inlineStr">
        <is>
          <t>pak à 3,75 m²</t>
        </is>
      </c>
    </row>
    <row r="15">
      <c r="A15" t="inlineStr">
        <is>
          <t>Egaline zakken</t>
        </is>
      </c>
      <c r="B15">
        <f>CEILING(B4*1.5*B7/25,1)</f>
        <v/>
      </c>
      <c r="C15" t="inlineStr">
        <is>
          <t>zak à 25 kg</t>
        </is>
      </c>
      <c r="D15" t="inlineStr">
        <is>
          <t>1,5 kg/m²/mm × totale opbouwhoogte B7</t>
        </is>
      </c>
    </row>
    <row r="16">
      <c r="A16" t="inlineStr">
        <is>
          <t>PE-RT rollen 300 m</t>
        </is>
      </c>
      <c r="B16">
        <f>MAX(1,CEILING(B13/300,1))</f>
        <v/>
      </c>
      <c r="C16" t="inlineStr">
        <is>
          <t>rol</t>
        </is>
      </c>
    </row>
    <row r="17">
      <c r="A17" t="inlineStr">
        <is>
          <t>Contactlijm bussen</t>
        </is>
      </c>
      <c r="B17">
        <f>MAX(1,CEILING(B4*0.2,1))</f>
        <v/>
      </c>
      <c r="C17" t="inlineStr">
        <is>
          <t>bus</t>
        </is>
      </c>
    </row>
    <row r="18">
      <c r="A18" t="inlineStr">
        <is>
          <t>Randisolatie rollen</t>
        </is>
      </c>
      <c r="B18">
        <f>MAX(2,CEILING(B4/10,1))</f>
        <v/>
      </c>
      <c r="C18" t="inlineStr">
        <is>
          <t>rol à 25 m</t>
        </is>
      </c>
    </row>
    <row r="19">
      <c r="A19" s="3" t="inlineStr">
        <is>
          <t>Primer bussen 5 L</t>
        </is>
      </c>
      <c r="B19">
        <f>MAX(1,CEILING(B4*2/30,1))</f>
        <v/>
      </c>
      <c r="C19" t="inlineStr">
        <is>
          <t>bus</t>
        </is>
      </c>
      <c r="D19" t="inlineStr">
        <is>
          <t>Beton: altijd primer</t>
        </is>
      </c>
    </row>
    <row r="20">
      <c r="A20" s="19" t="inlineStr">
        <is>
          <t>Tado/H64 slaves</t>
        </is>
      </c>
      <c r="B20" s="19">
        <f>MAX(0,B6-1)</f>
        <v/>
      </c>
      <c r="C20" s="19" t="inlineStr">
        <is>
          <t>st</t>
        </is>
      </c>
      <c r="D20" s="19" t="inlineStr">
        <is>
          <t>Levertijd / land / opmerking</t>
        </is>
      </c>
    </row>
    <row r="21">
      <c r="A21" t="inlineStr">
        <is>
          <t>Hoogte-check</t>
        </is>
      </c>
      <c r="B21" s="5">
        <f>IF(B7&lt;=B10,"OK ≤ max","TE HOOG t.o.v. max")</f>
        <v/>
      </c>
      <c r="C21" s="5" t="inlineStr"/>
      <c r="D21" t="inlineStr">
        <is>
          <t>B7 mag niet boven B10</t>
        </is>
      </c>
    </row>
    <row r="22">
      <c r="A22" t="inlineStr">
        <is>
          <t>123InstallatieMaterialen</t>
        </is>
      </c>
      <c r="B22" s="5" t="inlineStr">
        <is>
          <t>€200</t>
        </is>
      </c>
      <c r="C22" s="5" t="inlineStr">
        <is>
          <t>€6,95</t>
        </is>
      </c>
      <c r="D22" t="inlineStr">
        <is>
          <t>NL · morgen in huis</t>
        </is>
      </c>
    </row>
    <row r="23">
      <c r="A23" t="inlineStr">
        <is>
          <t>VERZENDREGELS (NL, all-in)</t>
        </is>
      </c>
      <c r="B23" s="5" t="inlineStr">
        <is>
          <t>€150</t>
        </is>
      </c>
      <c r="C23" s="5" t="inlineStr">
        <is>
          <t>€6,95</t>
        </is>
      </c>
      <c r="D23" t="inlineStr">
        <is>
          <t>NL · volgende werkdag</t>
        </is>
      </c>
    </row>
    <row r="24">
      <c r="A24" t="inlineStr">
        <is>
          <t>Shop</t>
        </is>
      </c>
      <c r="B24" s="5" t="inlineStr">
        <is>
          <t>Gratis vanaf</t>
        </is>
      </c>
      <c r="C24" s="5" t="inlineStr">
        <is>
          <t>Kosten onder drempel</t>
        </is>
      </c>
      <c r="D24" t="inlineStr">
        <is>
          <t>Levertijd / land</t>
        </is>
      </c>
    </row>
    <row r="25">
      <c r="A25" t="inlineStr">
        <is>
          <t>Elektramat</t>
        </is>
      </c>
      <c r="B25" s="5" t="inlineStr">
        <is>
          <t>€150 excl. btw</t>
        </is>
      </c>
      <c r="C25" s="5" t="inlineStr">
        <is>
          <t>≈ €4,95 incl</t>
        </is>
      </c>
      <c r="D25" t="inlineStr">
        <is>
          <t>NL · 1 wd</t>
        </is>
      </c>
    </row>
    <row r="26">
      <c r="A26" t="inlineStr">
        <is>
          <t>123InstallatieMaterialen</t>
        </is>
      </c>
      <c r="B26" s="5" t="inlineStr">
        <is>
          <t>€200</t>
        </is>
      </c>
      <c r="C26" s="5" t="inlineStr">
        <is>
          <t>€6,95</t>
        </is>
      </c>
      <c r="D26" t="inlineStr">
        <is>
          <t>NL · morgen</t>
        </is>
      </c>
    </row>
    <row r="27">
      <c r="A27" t="inlineStr">
        <is>
          <t>123Installatieshop</t>
        </is>
      </c>
      <c r="B27" s="5" t="inlineStr">
        <is>
          <t>€150</t>
        </is>
      </c>
      <c r="C27" s="5" t="inlineStr">
        <is>
          <t>€6,95</t>
        </is>
      </c>
      <c r="D27" t="inlineStr">
        <is>
          <t>NL · ≤1 week</t>
        </is>
      </c>
    </row>
    <row r="28">
      <c r="A28" t="inlineStr">
        <is>
          <t>EgalineXXL / RBMB</t>
        </is>
      </c>
      <c r="B28" s="5" t="inlineStr">
        <is>
          <t>€600 excl. btw</t>
        </is>
      </c>
      <c r="C28" s="5" t="inlineStr">
        <is>
          <t>pallet ≈ €60,50</t>
        </is>
      </c>
      <c r="D28" t="inlineStr">
        <is>
          <t>NL · pallet</t>
        </is>
      </c>
    </row>
    <row r="29">
      <c r="A29" t="inlineStr">
        <is>
          <t>eibhandel.de</t>
        </is>
      </c>
      <c r="B29" s="5" t="inlineStr">
        <is>
          <t>€1000</t>
        </is>
      </c>
      <c r="C29" s="5" t="inlineStr">
        <is>
          <t>≈ €15,41 incl</t>
        </is>
      </c>
      <c r="D29" t="inlineStr">
        <is>
          <t>DE→NL DHL</t>
        </is>
      </c>
    </row>
    <row r="30">
      <c r="A30" t="inlineStr">
        <is>
          <t>Warp Systems</t>
        </is>
      </c>
      <c r="B30" t="inlineStr">
        <is>
          <t>n.v.t.</t>
        </is>
      </c>
      <c r="C30" t="inlineStr">
        <is>
          <t>€0</t>
        </is>
      </c>
      <c r="D30" t="inlineStr">
        <is>
          <t>NL · 1 wd</t>
        </is>
      </c>
    </row>
    <row r="31">
      <c r="A31" t="inlineStr">
        <is>
          <t>tado° Shop</t>
        </is>
      </c>
      <c r="B31" t="inlineStr">
        <is>
          <t>€150</t>
        </is>
      </c>
      <c r="C31" t="inlineStr">
        <is>
          <t>€4,99</t>
        </is>
      </c>
      <c r="D31" t="inlineStr">
        <is>
          <t>NL/EU 2–4 wd</t>
        </is>
      </c>
    </row>
    <row r="32">
      <c r="A32" s="20" t="inlineStr">
        <is>
          <t>Installand</t>
        </is>
      </c>
      <c r="B32" t="inlineStr">
        <is>
          <t>€60</t>
        </is>
      </c>
      <c r="C32" t="inlineStr">
        <is>
          <t>~€6,95</t>
        </is>
      </c>
      <c r="D32" t="inlineStr">
        <is>
          <t>NL</t>
        </is>
      </c>
    </row>
    <row r="33">
      <c r="A33" t="inlineStr">
        <is>
          <t>VerwarmingOnline</t>
        </is>
      </c>
      <c r="B33" t="inlineStr">
        <is>
          <t>€385</t>
        </is>
      </c>
      <c r="C33" t="inlineStr">
        <is>
          <t>~€6,95</t>
        </is>
      </c>
      <c r="D33" t="inlineStr">
        <is>
          <t>NL 3–4 wd</t>
        </is>
      </c>
    </row>
    <row r="34">
      <c r="A34" s="3" t="inlineStr">
        <is>
          <t>NL-LEVERZEKERHEID</t>
        </is>
      </c>
    </row>
    <row r="35">
      <c r="A35" t="inlineStr">
        <is>
          <t>Standaard: alle artikelen NL-webshops behalve actuators.</t>
        </is>
      </c>
    </row>
    <row r="36">
      <c r="A36" t="inlineStr">
        <is>
          <t>Actuators DE→NL: eibhandel.de levert naar NL (DHL zone 1), verzending ≈€15,41, levertijd 2–5 wd DE + NL-transit (meestal ≤1 week).</t>
        </is>
      </c>
    </row>
    <row r="37">
      <c r="A37" t="inlineStr">
        <is>
          <t>Wil je 100% NL-webshop? Zet B8 op "NL zeker (VerwarmingOnline)" — all-in dan ~€80–€87 i.p.v. ~€55.</t>
        </is>
      </c>
    </row>
  </sheetData>
  <dataValidations count="1">
    <dataValidation sqref="B8" showDropDown="0" showInputMessage="0" showErrorMessage="0" allowBlank="0" errorTitle="Ongeldige keuze" error="Kies DE→NL of NL zeker" type="list">
      <formula1>"DE→NL (eibhandel, goedkoopst),NL zeker (VerwarmingOnline)"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" customWidth="1" min="2" max="2"/>
    <col width="14" customWidth="1" min="3" max="3"/>
    <col width="12" customWidth="1" min="4" max="4"/>
    <col width="48" customWidth="1" min="5" max="5"/>
    <col width="14" customWidth="1" min="6" max="6"/>
    <col width="40" customWidth="1" min="7" max="7"/>
    <col width="28" customWidth="1" min="8" max="8"/>
    <col width="12" customWidth="1" min="9" max="9"/>
    <col width="12" customWidth="1" min="10" max="10"/>
    <col width="10" customWidth="1" min="11" max="11"/>
    <col width="12" customWidth="1" min="12" max="12"/>
    <col width="10" customWidth="1" min="13" max="13"/>
    <col width="10" customWidth="1" min="14" max="14"/>
    <col width="28" customWidth="1" min="15" max="15"/>
    <col width="22" customWidth="1" min="16" max="16"/>
    <col width="20" customWidth="1" min="17" max="17"/>
    <col width="6" customWidth="1" min="18" max="18"/>
    <col width="12" customWidth="1" min="19" max="19"/>
    <col width="45" customWidth="1" min="20" max="20"/>
    <col width="28" customWidth="1" min="21" max="21"/>
  </cols>
  <sheetData>
    <row r="1">
      <c r="A1" s="1" t="inlineStr">
        <is>
          <t>Boodschappenlijst — SlimFit 12 op BETON, max 30 mm. Hoeveelheden schalen met Parameters!B4</t>
        </is>
      </c>
    </row>
    <row r="2">
      <c r="A2" t="inlineStr">
        <is>
          <t>Nat 16 mm/zandcement past niet (te hoog). Beton = stijve basis → SlimFit + vezel-egaline tot 22–30 mm is hier de kwalitatief beste haalbare optie.</t>
        </is>
      </c>
    </row>
    <row r="4">
      <c r="A4" s="3" t="inlineStr">
        <is>
          <t>KOPJE: Vloerverwarming</t>
        </is>
      </c>
    </row>
    <row r="5">
      <c r="A5" s="11" t="inlineStr">
        <is>
          <t>Kopje</t>
        </is>
      </c>
      <c r="B5" s="11" t="inlineStr">
        <is>
          <t>Nr</t>
        </is>
      </c>
      <c r="C5" s="11" t="inlineStr">
        <is>
          <t>Keuze</t>
        </is>
      </c>
      <c r="D5" s="11" t="inlineStr">
        <is>
          <t>Categorie</t>
        </is>
      </c>
      <c r="E5" s="11" t="inlineStr">
        <is>
          <t>Benodigd artikel</t>
        </is>
      </c>
      <c r="F5" s="11" t="inlineStr">
        <is>
          <t>Artikelnr</t>
        </is>
      </c>
      <c r="G5" s="11" t="inlineStr">
        <is>
          <t>Omschrijving</t>
        </is>
      </c>
      <c r="H5" s="11" t="inlineStr">
        <is>
          <t>Waarvoor nodig</t>
        </is>
      </c>
      <c r="I5" s="11" t="inlineStr">
        <is>
          <t>Hoeveelheid</t>
        </is>
      </c>
      <c r="J5" s="11" t="inlineStr">
        <is>
          <t>Eenheid</t>
        </is>
      </c>
      <c r="K5" s="11" t="inlineStr">
        <is>
          <t>Prijs/st</t>
        </is>
      </c>
      <c r="L5" s="11" t="inlineStr">
        <is>
          <t>Goedkoopste/st</t>
        </is>
      </c>
      <c r="M5" s="11" t="inlineStr">
        <is>
          <t>Kwaliteit</t>
        </is>
      </c>
      <c r="N5" s="11" t="inlineStr">
        <is>
          <t>Totaal</t>
        </is>
      </c>
      <c r="O5" s="11" t="inlineStr">
        <is>
          <t>Levertijd</t>
        </is>
      </c>
      <c r="P5" s="11" t="inlineStr">
        <is>
          <t>Webshop</t>
        </is>
      </c>
      <c r="Q5" s="11" t="inlineStr">
        <is>
          <t>Product-URL</t>
        </is>
      </c>
      <c r="R5" s="11" t="inlineStr">
        <is>
          <t>Land</t>
        </is>
      </c>
      <c r="S5" s="11" t="inlineStr">
        <is>
          <t>Verzenddrempel</t>
        </is>
      </c>
      <c r="T5" s="11" t="inlineStr">
        <is>
          <t>Waarom / opmerking</t>
        </is>
      </c>
      <c r="U5" s="19" t="inlineStr">
        <is>
          <t>NL-zekerheid</t>
        </is>
      </c>
    </row>
    <row r="6">
      <c r="A6" s="12" t="inlineStr">
        <is>
          <t>Vloerverwarming</t>
        </is>
      </c>
      <c r="B6" s="13" t="n">
        <v>1</v>
      </c>
      <c r="C6" s="13" t="inlineStr">
        <is>
          <t>altijd</t>
        </is>
      </c>
      <c r="D6" s="13" t="inlineStr">
        <is>
          <t>Bevestiging</t>
        </is>
      </c>
      <c r="E6" s="13" t="inlineStr">
        <is>
          <t>MAGNUM SlimFit 12 bevestigingsmat 3,75 m²</t>
        </is>
      </c>
      <c r="F6" s="13" t="inlineStr">
        <is>
          <t>W61012</t>
        </is>
      </c>
      <c r="G6" s="13" t="inlineStr">
        <is>
          <t>Kunststof klikmatten 5×75×100 cm = 3,75 m², opbouw ~14 mm.</t>
        </is>
      </c>
      <c r="H6" s="13" t="inlineStr">
        <is>
          <t>Basislaag voor buizen.</t>
        </is>
      </c>
      <c r="I6" s="14">
        <f>CEILING(Parameters!$B$4/3.75,1)</f>
        <v/>
      </c>
      <c r="J6" s="13" t="inlineStr">
        <is>
          <t>pak</t>
        </is>
      </c>
      <c r="K6" s="15" t="n">
        <v>86.94</v>
      </c>
      <c r="L6" s="15" t="n">
        <v>86.94</v>
      </c>
      <c r="M6" s="13" t="inlineStr">
        <is>
          <t>behouden</t>
        </is>
      </c>
      <c r="N6" s="15">
        <f>I6*K6</f>
        <v/>
      </c>
      <c r="O6" s="13" t="inlineStr">
        <is>
          <t>NL · 1 werkdag (op voorraad)</t>
        </is>
      </c>
      <c r="P6" s="13" t="inlineStr">
        <is>
          <t>Elektramat</t>
        </is>
      </c>
      <c r="Q6" s="13" t="inlineStr">
        <is>
          <t>https://www.elektramat.nl/magnum-slimfit-12-bevestigingsmat-vloerverwarming-3-75-m2-5-stuks-van-75x100cm-w61012/</t>
        </is>
      </c>
      <c r="R6" s="13" t="inlineStr">
        <is>
          <t>NL</t>
        </is>
      </c>
      <c r="S6" s="15" t="n">
        <v>150</v>
      </c>
      <c r="T6" s="13" t="inlineStr">
        <is>
          <t>Schaalt met m². Op beton + vezel-egaline tot ≤30 mm = hardst haalbaar binnen hoogte.</t>
        </is>
      </c>
      <c r="U6" s="28" t="inlineStr">
        <is>
          <t>ZEKER — NL webshop</t>
        </is>
      </c>
    </row>
    <row r="7">
      <c r="A7" s="12" t="inlineStr">
        <is>
          <t>Vloerverwarming</t>
        </is>
      </c>
      <c r="B7" s="13" t="n">
        <v>2</v>
      </c>
      <c r="C7" s="13" t="inlineStr">
        <is>
          <t>altijd</t>
        </is>
      </c>
      <c r="D7" s="13" t="inlineStr">
        <is>
          <t>Buis</t>
        </is>
      </c>
      <c r="E7" s="13" t="inlineStr">
        <is>
          <t>MAGNUM PE-RT buis 12×1,5 mm KOMO – rol 300 m</t>
        </is>
      </c>
      <c r="F7" s="13" t="inlineStr">
        <is>
          <t>W12300</t>
        </is>
      </c>
      <c r="G7" s="13" t="inlineStr">
        <is>
          <t>5-laags PE-RT ø12 mm, KOMO/EVOH.</t>
        </is>
      </c>
      <c r="H7" s="13" t="inlineStr">
        <is>
          <t>Verwarmingscircuits.</t>
        </is>
      </c>
      <c r="I7" s="14">
        <f>MAX(1,CEILING(Parameters!$B$13/300,1))</f>
        <v/>
      </c>
      <c r="J7" s="13" t="inlineStr">
        <is>
          <t>rol</t>
        </is>
      </c>
      <c r="K7" s="15" t="n">
        <v>142.93</v>
      </c>
      <c r="L7" s="15" t="n">
        <v>142.93</v>
      </c>
      <c r="M7" s="13" t="inlineStr">
        <is>
          <t>behouden</t>
        </is>
      </c>
      <c r="N7" s="15">
        <f>I7*K7</f>
        <v/>
      </c>
      <c r="O7" s="13" t="inlineStr">
        <is>
          <t>NL · morgen in huis (vóór 14:30)</t>
        </is>
      </c>
      <c r="P7" s="13" t="inlineStr">
        <is>
          <t>123InstallatieMaterialen</t>
        </is>
      </c>
      <c r="Q7" s="13" t="inlineStr">
        <is>
          <t>https://123installatiematerialen.nl/magnum-tube-vloerverwarmingsbuis-pe-rt-12-x-15-300-meter/</t>
        </is>
      </c>
      <c r="R7" s="13" t="inlineStr">
        <is>
          <t>NL</t>
        </is>
      </c>
      <c r="S7" s="15" t="n">
        <v>200</v>
      </c>
      <c r="T7" s="13" t="inlineStr">
        <is>
          <t>All-in: +€6,95 verzending (order &lt;€200 bij 123IM). Nog steeds goedkoper dan Elektramat €181,86.</t>
        </is>
      </c>
      <c r="U7" s="28" t="inlineStr">
        <is>
          <t>ZEKER — NL webshop</t>
        </is>
      </c>
    </row>
    <row r="8">
      <c r="A8" s="12" t="inlineStr">
        <is>
          <t>Vloerverwarming</t>
        </is>
      </c>
      <c r="B8" s="13" t="n">
        <v>3</v>
      </c>
      <c r="C8" s="13" t="inlineStr">
        <is>
          <t>altijd</t>
        </is>
      </c>
      <c r="D8" s="13" t="inlineStr">
        <is>
          <t>Koppeling</t>
        </is>
      </c>
      <c r="E8" s="13" t="inlineStr">
        <is>
          <t>MAGNUM Euroconus 12×1,5 mm × ¾″ (set van 2)</t>
        </is>
      </c>
      <c r="F8" s="13" t="inlineStr">
        <is>
          <t>W90012</t>
        </is>
      </c>
      <c r="G8" s="13" t="inlineStr">
        <is>
          <t>1 set = 2 koppelingen (aanvoer+retour per groep).</t>
        </is>
      </c>
      <c r="H8" s="13" t="inlineStr">
        <is>
          <t>1 set per groep.</t>
        </is>
      </c>
      <c r="I8" s="14">
        <f>Parameters!$B$5</f>
        <v/>
      </c>
      <c r="J8" s="13" t="inlineStr">
        <is>
          <t>set</t>
        </is>
      </c>
      <c r="K8" s="15" t="n">
        <v>4.69</v>
      </c>
      <c r="L8" s="15" t="n">
        <v>4.69</v>
      </c>
      <c r="M8" s="13" t="inlineStr">
        <is>
          <t>behouden</t>
        </is>
      </c>
      <c r="N8" s="15">
        <f>I8*K8</f>
        <v/>
      </c>
      <c r="O8" s="13" t="inlineStr">
        <is>
          <t>NL · 1 werkdag</t>
        </is>
      </c>
      <c r="P8" s="13" t="inlineStr">
        <is>
          <t>Elektramat</t>
        </is>
      </c>
      <c r="Q8" s="13" t="inlineStr">
        <is>
          <t>https://www.elektramat.nl/magnum-adaptor-euroconus-aansluitkoppeling-12x1-5mm-x-3-4-2-stuks-w90012/</t>
        </is>
      </c>
      <c r="R8" s="13" t="inlineStr">
        <is>
          <t>NL</t>
        </is>
      </c>
      <c r="S8" s="15" t="n">
        <v>50</v>
      </c>
      <c r="T8" s="13" t="inlineStr">
        <is>
          <t>Schaalt met aantal groepen.</t>
        </is>
      </c>
      <c r="U8" s="28" t="inlineStr">
        <is>
          <t>ZEKER — NL webshop</t>
        </is>
      </c>
    </row>
    <row r="9">
      <c r="A9" s="12" t="inlineStr">
        <is>
          <t>Vloerverwarming</t>
        </is>
      </c>
      <c r="B9" s="13" t="n">
        <v>4</v>
      </c>
      <c r="C9" s="13" t="inlineStr">
        <is>
          <t>altijd</t>
        </is>
      </c>
      <c r="D9" s="13" t="inlineStr">
        <is>
          <t>Hulpstuk</t>
        </is>
      </c>
      <c r="E9" s="13" t="inlineStr">
        <is>
          <t>MAGNUM 90° bochtondersteuning ø10–12 mm (set van 2)</t>
        </is>
      </c>
      <c r="F9" s="13" t="inlineStr">
        <is>
          <t>W90125</t>
        </is>
      </c>
      <c r="G9" s="13" t="inlineStr">
        <is>
          <t>Ondersteunt bocht bij opgang.</t>
        </is>
      </c>
      <c r="H9" s="13" t="inlineStr">
        <is>
          <t>Opgang verdeler→vloer.</t>
        </is>
      </c>
      <c r="I9" s="14">
        <f>Parameters!$B$5</f>
        <v/>
      </c>
      <c r="J9" s="13" t="inlineStr">
        <is>
          <t>set</t>
        </is>
      </c>
      <c r="K9" s="15" t="n">
        <v>1.18</v>
      </c>
      <c r="L9" s="15" t="n">
        <v>1.18</v>
      </c>
      <c r="M9" s="13" t="inlineStr">
        <is>
          <t>behouden</t>
        </is>
      </c>
      <c r="N9" s="15">
        <f>I9*K9</f>
        <v/>
      </c>
      <c r="O9" s="13" t="inlineStr">
        <is>
          <t>NL · morgen in huis (vóór 14:30)</t>
        </is>
      </c>
      <c r="P9" s="13" t="inlineStr">
        <is>
          <t>123InstallatieMaterialen</t>
        </is>
      </c>
      <c r="Q9" s="13" t="inlineStr">
        <is>
          <t>https://123installatiematerialen.nl/90-bochtondersteuning-buismaat-o-10-12mm-2-stuks/</t>
        </is>
      </c>
      <c r="R9" s="13" t="inlineStr">
        <is>
          <t>NL</t>
        </is>
      </c>
      <c r="S9" s="15" t="n">
        <v>200</v>
      </c>
      <c r="T9" s="13" t="inlineStr">
        <is>
          <t>Schaalt met aantal groepen.</t>
        </is>
      </c>
      <c r="U9" s="28" t="inlineStr">
        <is>
          <t>ZEKER — NL webshop</t>
        </is>
      </c>
    </row>
    <row r="10">
      <c r="A10" s="12" t="inlineStr">
        <is>
          <t>Vloerverwarming</t>
        </is>
      </c>
      <c r="B10" s="13" t="n">
        <v>5</v>
      </c>
      <c r="C10" s="13" t="inlineStr">
        <is>
          <t>altijd</t>
        </is>
      </c>
      <c r="D10" s="13" t="inlineStr">
        <is>
          <t>Lijm</t>
        </is>
      </c>
      <c r="E10" s="13" t="inlineStr">
        <is>
          <t>MAGNUM Contactlijm 500 ml</t>
        </is>
      </c>
      <c r="F10" s="13" t="inlineStr">
        <is>
          <t>W61027</t>
        </is>
      </c>
      <c r="G10" s="13" t="inlineStr">
        <is>
          <t>Spuitlijm voor Magnum verlegsystemen.</t>
        </is>
      </c>
      <c r="H10" s="13" t="inlineStr">
        <is>
          <t>Matten vastzetten.</t>
        </is>
      </c>
      <c r="I10" s="14">
        <f>MAX(1,CEILING(Parameters!$B$4*0.2,1))</f>
        <v/>
      </c>
      <c r="J10" s="13" t="inlineStr">
        <is>
          <t>bus</t>
        </is>
      </c>
      <c r="K10" s="15" t="n">
        <v>9.050000000000001</v>
      </c>
      <c r="L10" s="15" t="n">
        <v>9.050000000000001</v>
      </c>
      <c r="M10" s="13" t="inlineStr">
        <is>
          <t>behouden</t>
        </is>
      </c>
      <c r="N10" s="15">
        <f>I10*K10</f>
        <v/>
      </c>
      <c r="O10" s="13" t="inlineStr">
        <is>
          <t>NL · 1 werkdag</t>
        </is>
      </c>
      <c r="P10" s="13" t="inlineStr">
        <is>
          <t>Elektramat</t>
        </is>
      </c>
      <c r="Q10" s="13" t="inlineStr">
        <is>
          <t>https://www.elektramat.nl/magnum-contactlijm-voor-verlijmen-magnum-verlegsystemen-w61027/</t>
        </is>
      </c>
      <c r="R10" s="13" t="inlineStr">
        <is>
          <t>NL</t>
        </is>
      </c>
      <c r="S10" s="15" t="n">
        <v>50</v>
      </c>
      <c r="T10" s="13" t="inlineStr">
        <is>
          <t>~0,2 bus/m².</t>
        </is>
      </c>
      <c r="U10" s="28" t="inlineStr">
        <is>
          <t>ZEKER — NL webshop</t>
        </is>
      </c>
    </row>
    <row r="11">
      <c r="A11" s="16" t="inlineStr">
        <is>
          <t>Vloerverwarming</t>
        </is>
      </c>
      <c r="B11" s="13" t="n">
        <v>6</v>
      </c>
      <c r="C11" s="13" t="inlineStr">
        <is>
          <t>altijd</t>
        </is>
      </c>
      <c r="D11" s="13" t="inlineStr">
        <is>
          <t>Rand</t>
        </is>
      </c>
      <c r="E11" s="13" t="inlineStr">
        <is>
          <t>NMC Climasol randisolatie 150×8 mm – rol 25 m</t>
        </is>
      </c>
      <c r="F11" s="13" t="inlineStr">
        <is>
          <t>CLIMASOL</t>
        </is>
      </c>
      <c r="G11" s="13" t="inlineStr">
        <is>
          <t>Zelfklevend, met flap.</t>
        </is>
      </c>
      <c r="H11" s="13" t="inlineStr">
        <is>
          <t>Rondom muren; voorkomt scheuren.</t>
        </is>
      </c>
      <c r="I11" s="14">
        <f>MAX(2,CEILING(Parameters!$B$4/10,1))</f>
        <v/>
      </c>
      <c r="J11" s="13" t="inlineStr">
        <is>
          <t>rol</t>
        </is>
      </c>
      <c r="K11" s="15" t="n">
        <v>23.99</v>
      </c>
      <c r="L11" s="15" t="n">
        <v>15.62</v>
      </c>
      <c r="M11" s="13" t="inlineStr">
        <is>
          <t>upgrade</t>
        </is>
      </c>
      <c r="N11" s="15">
        <f>I11*K11</f>
        <v/>
      </c>
      <c r="O11" s="13" t="inlineStr">
        <is>
          <t>NL · vaak volgende werkdag (vóór 16:30/17:00)</t>
        </is>
      </c>
      <c r="P11" s="13" t="inlineStr">
        <is>
          <t>Installand</t>
        </is>
      </c>
      <c r="Q11" s="13" t="inlineStr">
        <is>
          <t>https://www.installand.nl/gena-climasol-randisolatie-zelfklevend-150-x-8-mm-rol-25-m</t>
        </is>
      </c>
      <c r="R11" s="13" t="inlineStr">
        <is>
          <t>NL</t>
        </is>
      </c>
      <c r="S11" s="15" t="n">
        <v>50</v>
      </c>
      <c r="T11" s="13" t="inlineStr">
        <is>
          <t>Kwaliteitsupgrade; schaalt grof met m².</t>
        </is>
      </c>
      <c r="U11" s="28" t="inlineStr">
        <is>
          <t>ZEKER — NL webshop</t>
        </is>
      </c>
    </row>
    <row r="12">
      <c r="A12" s="12" t="inlineStr">
        <is>
          <t>Vloerverwarming</t>
        </is>
      </c>
      <c r="B12" s="13" t="n">
        <v>7</v>
      </c>
      <c r="C12" s="13" t="inlineStr">
        <is>
          <t>altijd</t>
        </is>
      </c>
      <c r="D12" s="13" t="inlineStr">
        <is>
          <t>Primer</t>
        </is>
      </c>
      <c r="E12" s="13" t="inlineStr">
        <is>
          <t>Kreisel Gruntolit-W 301 voorstrijk 5 L</t>
        </is>
      </c>
      <c r="F12" s="13" t="inlineStr">
        <is>
          <t>301</t>
        </is>
      </c>
      <c r="G12" s="13" t="inlineStr">
        <is>
          <t>Voorstrijk op BETON vóór egaline (Kreisel-systeem).</t>
        </is>
      </c>
      <c r="H12" s="13" t="inlineStr">
        <is>
          <t>Onder egaline.</t>
        </is>
      </c>
      <c r="I12" s="14">
        <f>MAX(1,CEILING(Parameters!$B$4*2/30,1))</f>
        <v/>
      </c>
      <c r="J12" s="13" t="inlineStr">
        <is>
          <t>bus 5L</t>
        </is>
      </c>
      <c r="K12" s="15" t="n">
        <v>9.289999999999999</v>
      </c>
      <c r="L12" s="15" t="n">
        <v>9.289999999999999</v>
      </c>
      <c r="M12" s="13" t="inlineStr">
        <is>
          <t>behouden</t>
        </is>
      </c>
      <c r="N12" s="15">
        <f>I12*K12</f>
        <v/>
      </c>
      <c r="O12" s="13" t="inlineStr">
        <is>
          <t>NL · 1–2 werkdagen (gebundeld met egaline)</t>
        </is>
      </c>
      <c r="P12" s="13" t="inlineStr">
        <is>
          <t>EgalineXXL</t>
        </is>
      </c>
      <c r="Q12" s="13" t="inlineStr">
        <is>
          <t>https://egalinexxl.nl/</t>
        </is>
      </c>
      <c r="R12" s="13" t="inlineStr">
        <is>
          <t>NL</t>
        </is>
      </c>
      <c r="S12" s="15" t="n">
        <v>600</v>
      </c>
      <c r="T12" s="13" t="inlineStr">
        <is>
          <t>Zelfde shop als egaline (gebundeld voor verzending).</t>
        </is>
      </c>
      <c r="U12" s="28" t="inlineStr">
        <is>
          <t>ZEKER — NL webshop</t>
        </is>
      </c>
    </row>
    <row r="13">
      <c r="A13" s="12" t="inlineStr">
        <is>
          <t>Vloerverwarming</t>
        </is>
      </c>
      <c r="B13" s="13" t="n">
        <v>8</v>
      </c>
      <c r="C13" s="13" t="inlineStr">
        <is>
          <t>altijd</t>
        </is>
      </c>
      <c r="D13" s="13" t="inlineStr">
        <is>
          <t>Egaline</t>
        </is>
      </c>
      <c r="E13" s="13" t="inlineStr">
        <is>
          <t>Kreisel 418 vezelversterkte egaline 25 kg</t>
        </is>
      </c>
      <c r="F13" s="13" t="inlineStr">
        <is>
          <t>418</t>
        </is>
      </c>
      <c r="G13" s="13" t="inlineStr">
        <is>
          <t>1–50 mm, vezels, vloerverwarming. Totale opbouw SlimFit+egaline = Parameters!B7 mm.</t>
        </is>
      </c>
      <c r="H13" s="13" t="inlineStr">
        <is>
          <t>Inbedden SlimFit + buizen.</t>
        </is>
      </c>
      <c r="I13" s="14">
        <f>CEILING(Parameters!$B$4*1.5*Parameters!$B$7/25,1)</f>
        <v/>
      </c>
      <c r="J13" s="13" t="inlineStr">
        <is>
          <t>zak</t>
        </is>
      </c>
      <c r="K13" s="15" t="n">
        <v>14.87</v>
      </c>
      <c r="L13" s="15" t="n">
        <v>14.87</v>
      </c>
      <c r="M13" s="13" t="inlineStr">
        <is>
          <t>behouden</t>
        </is>
      </c>
      <c r="N13" s="15">
        <f>I13*K13</f>
        <v/>
      </c>
      <c r="O13" s="13" t="inlineStr">
        <is>
          <t>NL · volgende werkdag / pallet in overleg</t>
        </is>
      </c>
      <c r="P13" s="13" t="inlineStr">
        <is>
          <t>EgalineXXL</t>
        </is>
      </c>
      <c r="Q13" s="13" t="inlineStr">
        <is>
          <t>https://egalinexxl.nl/products/kreisel-418-vezelversterkte-egalisatie-25kg-1-50mm</t>
        </is>
      </c>
      <c r="R13" s="13" t="inlineStr">
        <is>
          <t>NL</t>
        </is>
      </c>
      <c r="S13" s="15" t="n">
        <v>600</v>
      </c>
      <c r="T13" s="13" t="inlineStr">
        <is>
          <t>All-in: +pallet ~€60,50 als &lt;€600 excl. Stort tot Parameters!B7 (22 mm aanbevolen; max 30). Vezels tegen spanning.</t>
        </is>
      </c>
      <c r="U13" s="28" t="inlineStr">
        <is>
          <t>ZEKER — NL webshop (pallet)</t>
        </is>
      </c>
    </row>
    <row r="14">
      <c r="A14" s="16" t="inlineStr">
        <is>
          <t>Vloerverwarming</t>
        </is>
      </c>
      <c r="B14" s="13" t="n">
        <v>9</v>
      </c>
      <c r="C14" s="13" t="inlineStr">
        <is>
          <t>altijd</t>
        </is>
      </c>
      <c r="D14" s="13" t="inlineStr">
        <is>
          <t>Verdeler</t>
        </is>
      </c>
      <c r="E14" s="13" t="inlineStr">
        <is>
          <t>VTE Composiet 4-groeps mengverdeler + Grundfos UPM3 pomp</t>
        </is>
      </c>
      <c r="F14" s="13" t="inlineStr">
        <is>
          <t>KU100104GU</t>
        </is>
      </c>
      <c r="G14" s="13" t="inlineStr">
        <is>
          <t>Composiet, flowmeters, M30, koelbaar.</t>
        </is>
      </c>
      <c r="H14" s="13" t="inlineStr">
        <is>
          <t>Hart van het systeem.</t>
        </is>
      </c>
      <c r="I14" s="17" t="n">
        <v>1</v>
      </c>
      <c r="J14" s="13" t="inlineStr">
        <is>
          <t>st</t>
        </is>
      </c>
      <c r="K14" s="15" t="n">
        <v>387.18</v>
      </c>
      <c r="L14" s="15" t="n">
        <v>305.95</v>
      </c>
      <c r="M14" s="13" t="inlineStr">
        <is>
          <t>upgrade</t>
        </is>
      </c>
      <c r="N14" s="15">
        <f>I14*K14</f>
        <v/>
      </c>
      <c r="O14" s="13" t="inlineStr">
        <is>
          <t>NL · op voorraad, volgende werkdag mogelijk</t>
        </is>
      </c>
      <c r="P14" s="13" t="inlineStr">
        <is>
          <t>123Installatieshop</t>
        </is>
      </c>
      <c r="Q14" s="13" t="inlineStr">
        <is>
          <t>https://www.123installatieshop.nl/vte-composiet-verdeler-4-groepen-met-pomp-ku100104gu</t>
        </is>
      </c>
      <c r="R14" s="13" t="inlineStr">
        <is>
          <t>NL</t>
        </is>
      </c>
      <c r="S14" s="15" t="n">
        <v>50</v>
      </c>
      <c r="T14" s="13" t="inlineStr">
        <is>
          <t>PRIJS = 4-groeps. Bij andere groepen: andere SKU/prijs kiezen!</t>
        </is>
      </c>
      <c r="U14" s="28" t="inlineStr">
        <is>
          <t>ZEKER — NL webshop</t>
        </is>
      </c>
    </row>
    <row r="15">
      <c r="A15" s="12" t="inlineStr">
        <is>
          <t>Vloerverwarming</t>
        </is>
      </c>
      <c r="B15" s="13" t="n">
        <v>10</v>
      </c>
      <c r="C15" s="13" t="inlineStr">
        <is>
          <t>altijd</t>
        </is>
      </c>
      <c r="D15" s="13" t="inlineStr">
        <is>
          <t>Leiding</t>
        </is>
      </c>
      <c r="E15" s="13" t="inlineStr">
        <is>
          <t>Aanvoer + retourleiding (meerlagenbuis 16×2)</t>
        </is>
      </c>
      <c r="F15" s="13" t="inlineStr">
        <is>
          <t>ML162</t>
        </is>
      </c>
      <c r="G15" s="13" t="inlineStr">
        <is>
          <t>Primair cv/wp → verdeler.</t>
        </is>
      </c>
      <c r="H15" s="13" t="inlineStr">
        <is>
          <t>cv/wp → verdeler.</t>
        </is>
      </c>
      <c r="I15" s="14">
        <f>MAX(8,ROUND(Parameters!$B$4/3,0))</f>
        <v/>
      </c>
      <c r="J15" s="13" t="inlineStr">
        <is>
          <t>m</t>
        </is>
      </c>
      <c r="K15" s="15" t="n">
        <v>6.5</v>
      </c>
      <c r="L15" s="15" t="n">
        <v>6.5</v>
      </c>
      <c r="M15" s="13" t="inlineStr">
        <is>
          <t>behouden</t>
        </is>
      </c>
      <c r="N15" s="15">
        <f>I15*K15</f>
        <v/>
      </c>
      <c r="O15" s="13" t="inlineStr">
        <is>
          <t>NL · ≤ 1 week (standaard meerlagenbuis)</t>
        </is>
      </c>
      <c r="P15" s="13" t="inlineStr">
        <is>
          <t>123Installatieshop / bouwmarkt NL</t>
        </is>
      </c>
      <c r="Q15" s="13" t="inlineStr">
        <is>
          <t>https://www.123installatieshop.nl/</t>
        </is>
      </c>
      <c r="R15" s="13" t="inlineStr">
        <is>
          <t>NL</t>
        </is>
      </c>
      <c r="S15" s="15" t="n">
        <v>0</v>
      </c>
      <c r="T15" s="13" t="inlineStr">
        <is>
          <t>Situatie-afhankelijk; schaalt licht met woninggrootte. Lokale bouwmarkt of NL-installatieshop; geen import.</t>
        </is>
      </c>
      <c r="U15" s="28" t="inlineStr">
        <is>
          <t>ZEKER — NL (generiek artikel)</t>
        </is>
      </c>
    </row>
    <row r="16">
      <c r="A16" s="12" t="inlineStr">
        <is>
          <t>Vloerverwarming</t>
        </is>
      </c>
      <c r="B16" s="13" t="n">
        <v>11</v>
      </c>
      <c r="C16" s="13" t="inlineStr">
        <is>
          <t>altijd</t>
        </is>
      </c>
      <c r="D16" s="13" t="inlineStr">
        <is>
          <t>Afsluiters</t>
        </is>
      </c>
      <c r="E16" s="13" t="inlineStr">
        <is>
          <t>Kogelkranen / koppelingen set</t>
        </is>
      </c>
      <c r="F16" s="13" t="inlineStr">
        <is>
          <t>KK-SET</t>
        </is>
      </c>
      <c r="G16" s="13" t="inlineStr">
        <is>
          <t>Afsluitbaar maken.</t>
        </is>
      </c>
      <c r="H16" s="13" t="inlineStr">
        <is>
          <t>Service/afsluitbaar.</t>
        </is>
      </c>
      <c r="I16" s="17" t="n">
        <v>1</v>
      </c>
      <c r="J16" s="13" t="inlineStr">
        <is>
          <t>set</t>
        </is>
      </c>
      <c r="K16" s="15" t="n">
        <v>34.95</v>
      </c>
      <c r="L16" s="15" t="n">
        <v>34.95</v>
      </c>
      <c r="M16" s="13" t="inlineStr">
        <is>
          <t>behouden</t>
        </is>
      </c>
      <c r="N16" s="15">
        <f>I16*K16</f>
        <v/>
      </c>
      <c r="O16" s="13" t="inlineStr">
        <is>
          <t>NL · ≤ 1 week</t>
        </is>
      </c>
      <c r="P16" s="13" t="inlineStr">
        <is>
          <t>123Installatieshop</t>
        </is>
      </c>
      <c r="Q16" s="13" t="inlineStr">
        <is>
          <t>https://www.123installatieshop.nl/</t>
        </is>
      </c>
      <c r="R16" s="13" t="inlineStr">
        <is>
          <t>NL</t>
        </is>
      </c>
      <c r="S16" s="15" t="n">
        <v>50</v>
      </c>
      <c r="T16" s="13" t="inlineStr">
        <is>
          <t>Vast per installatie.</t>
        </is>
      </c>
      <c r="U16" s="28" t="inlineStr">
        <is>
          <t>ZEKER — NL webshop</t>
        </is>
      </c>
    </row>
    <row r="17">
      <c r="A17" s="16" t="inlineStr">
        <is>
          <t>Vloerverwarming</t>
        </is>
      </c>
      <c r="B17" s="13" t="n">
        <v>12</v>
      </c>
      <c r="C17" s="13" t="inlineStr">
        <is>
          <t>altijd</t>
        </is>
      </c>
      <c r="D17" s="13" t="inlineStr">
        <is>
          <t>Actuator</t>
        </is>
      </c>
      <c r="E17" s="13" t="inlineStr">
        <is>
          <t>Möhlenhoff Alpha 5 thermische motor 230V NC M30×1,5 (+ adapter)</t>
        </is>
      </c>
      <c r="F17" s="13" t="inlineStr">
        <is>
          <t>A20405-00N80-1S</t>
        </is>
      </c>
      <c r="G17" s="13" t="inlineStr">
        <is>
          <t>NC 230V, VA80 adapter, 1 W.</t>
        </is>
      </c>
      <c r="H17" s="13" t="inlineStr">
        <is>
          <t>1 per groep.</t>
        </is>
      </c>
      <c r="I17" s="14">
        <f>Parameters!$B$5</f>
        <v/>
      </c>
      <c r="J17" s="13" t="inlineStr">
        <is>
          <t>st</t>
        </is>
      </c>
      <c r="K17" s="15">
        <f>IF(ISNUMBER(SEARCH("NL zeker",Parameters!$B$8)),20.12,9.99)</f>
        <v/>
      </c>
      <c r="L17" s="15">
        <f>K17</f>
        <v/>
      </c>
      <c r="M17" s="13" t="inlineStr">
        <is>
          <t>upgrade</t>
        </is>
      </c>
      <c r="N17" s="15">
        <f>I17*K17</f>
        <v/>
      </c>
      <c r="O17" s="13">
        <f>IF(ISNUMBER(SEARCH("NL zeker",Parameters!$B$8)),"NL · 3–4 werkdagen (VerwarmingOnline)","DE→NL · 2–5 wd DE + NL-transit (eibhandel DHL)")</f>
        <v/>
      </c>
      <c r="P17" s="13">
        <f>IF(ISNUMBER(SEARCH("NL zeker",Parameters!$B$8)),"VerwarmingOnline","eibhandel.de")</f>
        <v/>
      </c>
      <c r="Q17" s="13">
        <f>IF(ISNUMBER(SEARCH("NL zeker",Parameters!$B$8)),"https://verwarmingonline.nl/productgroepen/mohlenhoff-thermische-servomotor-alpha-5-nc-m30x15mm-230v-a-20405-00n/","https://eibhandel.de/Alpha-Antrieb-230V-NC-incl-Adapter-VA80")</f>
        <v/>
      </c>
      <c r="R17" s="29">
        <f>IF(ISNUMBER(SEARCH("NL zeker",Parameters!$B$8)),"NL","DE→NL")</f>
        <v/>
      </c>
      <c r="S17" s="15">
        <f>IF(ISNUMBER(SEARCH("NL zeker",Parameters!$B$8)),385,1000)</f>
        <v/>
      </c>
      <c r="T17" s="13" t="inlineStr">
        <is>
          <t>Schakel via Parameters!B8. DE→NL: verzending ≈€15,41 + levertijd 2–5 wd DE. NL zeker: €20,12/st, verzending €0 als order ≥€385 anders ~€6,95.</t>
        </is>
      </c>
      <c r="U17">
        <f>IF(ISNUMBER(SEARCH("NL zeker",Parameters!$B$8)),"ZEKER — NL webshop","DE→NL bevestigd (DHL zone 1)")</f>
        <v/>
      </c>
    </row>
    <row r="18">
      <c r="A18" s="16" t="inlineStr">
        <is>
          <t>Vloerverwarming</t>
        </is>
      </c>
      <c r="B18" s="13" t="n">
        <v>13</v>
      </c>
      <c r="C18" s="13" t="inlineStr">
        <is>
          <t>altijd</t>
        </is>
      </c>
      <c r="D18" s="13" t="inlineStr">
        <is>
          <t>Elektra</t>
        </is>
      </c>
      <c r="E18" s="13" t="inlineStr">
        <is>
          <t>Elektrakabel 230V / signaalkabel (installatiekwaliteit)</t>
        </is>
      </c>
      <c r="F18" s="13" t="inlineStr">
        <is>
          <t>ELEKTRA</t>
        </is>
      </c>
      <c r="G18" s="13" t="inlineStr">
        <is>
          <t>Voeding pomp/regeling/actuators.</t>
        </is>
      </c>
      <c r="H18" s="13" t="inlineStr">
        <is>
          <t>Elektra.</t>
        </is>
      </c>
      <c r="I18" s="17" t="n">
        <v>1</v>
      </c>
      <c r="J18" s="13" t="inlineStr">
        <is>
          <t>kleinmateriaal</t>
        </is>
      </c>
      <c r="K18" s="15" t="n">
        <v>25</v>
      </c>
      <c r="L18" s="15" t="n">
        <v>20</v>
      </c>
      <c r="M18" s="13" t="inlineStr">
        <is>
          <t>upgrade</t>
        </is>
      </c>
      <c r="N18" s="15">
        <f>I18*K18</f>
        <v/>
      </c>
      <c r="O18" s="13" t="inlineStr">
        <is>
          <t>NL · 1 werkdag / direct afhalen</t>
        </is>
      </c>
      <c r="P18" s="13" t="inlineStr">
        <is>
          <t>Elektramat / bouwmarkt NL</t>
        </is>
      </c>
      <c r="Q18" s="13" t="inlineStr">
        <is>
          <t>https://www.elektramat.nl/draad-en-kabel/installatiekabel/</t>
        </is>
      </c>
      <c r="R18" s="13" t="inlineStr">
        <is>
          <t>NL</t>
        </is>
      </c>
      <c r="S18" s="15" t="n">
        <v>0</v>
      </c>
      <c r="T18" s="13" t="inlineStr">
        <is>
          <t>Vast; bij groter project licht ophogen.</t>
        </is>
      </c>
      <c r="U18" s="28" t="inlineStr">
        <is>
          <t>ZEKER — NL</t>
        </is>
      </c>
    </row>
    <row r="19">
      <c r="A19" s="12" t="inlineStr">
        <is>
          <t>Vloerverwarming</t>
        </is>
      </c>
      <c r="B19" s="13" t="n">
        <v>14</v>
      </c>
      <c r="C19" s="13" t="inlineStr">
        <is>
          <t>h64</t>
        </is>
      </c>
      <c r="D19" s="13" t="inlineStr">
        <is>
          <t>Regeling</t>
        </is>
      </c>
      <c r="E19" s="13" t="inlineStr">
        <is>
          <t>MAGNUM H64-CC + master WiFi-thermostaat</t>
        </is>
      </c>
      <c r="F19" s="13" t="inlineStr">
        <is>
          <t>W81000</t>
        </is>
      </c>
      <c r="G19" s="13" t="inlineStr">
        <is>
          <t>Control Center + master.</t>
        </is>
      </c>
      <c r="H19" s="13" t="inlineStr">
        <is>
          <t>Alleen bij keuze H64.</t>
        </is>
      </c>
      <c r="I19" s="17" t="n">
        <v>1</v>
      </c>
      <c r="J19" s="13" t="inlineStr">
        <is>
          <t>set</t>
        </is>
      </c>
      <c r="K19" s="15" t="n">
        <v>194.92</v>
      </c>
      <c r="L19" s="15" t="n">
        <v>194.92</v>
      </c>
      <c r="M19" s="13" t="inlineStr">
        <is>
          <t>behouden</t>
        </is>
      </c>
      <c r="N19" s="15">
        <f>I19*K19</f>
        <v/>
      </c>
      <c r="O19" s="13" t="inlineStr">
        <is>
          <t>NL · 1 werkdag (voor 12:00 zelfde dag verzonden)</t>
        </is>
      </c>
      <c r="P19" s="13" t="inlineStr">
        <is>
          <t>Warp Systems</t>
        </is>
      </c>
      <c r="Q19" s="13" t="inlineStr">
        <is>
          <t>https://shop.warp-systems.com/h64-control-center-master-wifi-thermostaat-wit-of-zwart-magh64cc-mt-c</t>
        </is>
      </c>
      <c r="R19" s="13" t="inlineStr">
        <is>
          <t>NL</t>
        </is>
      </c>
      <c r="S19" s="15" t="n">
        <v>0</v>
      </c>
      <c r="T19" s="13" t="inlineStr">
        <is>
          <t>NL-fabrikant, snelle levering.</t>
        </is>
      </c>
      <c r="U19" s="28" t="inlineStr">
        <is>
          <t>ZEKER — NL fabrikant</t>
        </is>
      </c>
    </row>
    <row r="20">
      <c r="A20" s="12" t="inlineStr">
        <is>
          <t>Vloerverwarming</t>
        </is>
      </c>
      <c r="B20" s="13" t="n">
        <v>15</v>
      </c>
      <c r="C20" s="13" t="inlineStr">
        <is>
          <t>h64</t>
        </is>
      </c>
      <c r="D20" s="13" t="inlineStr">
        <is>
          <t>Regeling</t>
        </is>
      </c>
      <c r="E20" s="13" t="inlineStr">
        <is>
          <t>MAGNUM H64-ST slave thermostaat</t>
        </is>
      </c>
      <c r="F20" s="13" t="inlineStr">
        <is>
          <t>W81010</t>
        </is>
      </c>
      <c r="G20" s="13" t="inlineStr">
        <is>
          <t>Slave per extra ruimte.</t>
        </is>
      </c>
      <c r="H20" s="13" t="inlineStr">
        <is>
          <t>Ruimte 2…N bij H64.</t>
        </is>
      </c>
      <c r="I20" s="14">
        <f>MAX(0,Parameters!$B$6-1)</f>
        <v/>
      </c>
      <c r="J20" s="13" t="inlineStr">
        <is>
          <t>st</t>
        </is>
      </c>
      <c r="K20" s="15" t="n">
        <v>44.58</v>
      </c>
      <c r="L20" s="15" t="n">
        <v>44.58</v>
      </c>
      <c r="M20" s="13" t="inlineStr">
        <is>
          <t>behouden</t>
        </is>
      </c>
      <c r="N20" s="15">
        <f>I20*K20</f>
        <v/>
      </c>
      <c r="O20" s="13" t="inlineStr">
        <is>
          <t>NL · 1 werkdag</t>
        </is>
      </c>
      <c r="P20" s="13" t="inlineStr">
        <is>
          <t>Warp Systems</t>
        </is>
      </c>
      <c r="Q20" s="13" t="inlineStr">
        <is>
          <t>https://shop.warp-systems.com/catalogsearch/result/?q=slave+H64</t>
        </is>
      </c>
      <c r="R20" s="13" t="inlineStr">
        <is>
          <t>NL</t>
        </is>
      </c>
      <c r="S20" s="15" t="n">
        <v>0</v>
      </c>
      <c r="T20" s="13" t="inlineStr">
        <is>
          <t>Schaalt met ruimten−1.</t>
        </is>
      </c>
      <c r="U20" s="28" t="inlineStr">
        <is>
          <t>ZEKER — NL fabrikant</t>
        </is>
      </c>
    </row>
    <row r="21">
      <c r="A21" s="12" t="inlineStr">
        <is>
          <t>Vloerverwarming</t>
        </is>
      </c>
      <c r="B21" s="13" t="n">
        <v>16</v>
      </c>
      <c r="C21" s="13" t="inlineStr">
        <is>
          <t>tado_draadloos</t>
        </is>
      </c>
      <c r="D21" s="13" t="inlineStr">
        <is>
          <t>Regeling</t>
        </is>
      </c>
      <c r="E21" s="13" t="inlineStr">
        <is>
          <t>tado° Draadloze Slimme Thermostaat X Starterskit</t>
        </is>
      </c>
      <c r="F21" s="13" t="inlineStr">
        <is>
          <t>TADO-WX</t>
        </is>
      </c>
      <c r="G21" s="13" t="inlineStr">
        <is>
          <t>Wireless X + Bridge.</t>
        </is>
      </c>
      <c r="H21" s="13" t="inlineStr">
        <is>
          <t>1 kit per ruimte (draadloos).</t>
        </is>
      </c>
      <c r="I21" s="14">
        <f>Parameters!$B$6</f>
        <v/>
      </c>
      <c r="J21" s="13" t="inlineStr">
        <is>
          <t>set</t>
        </is>
      </c>
      <c r="K21" s="15" t="n">
        <v>129</v>
      </c>
      <c r="L21" s="15" t="n">
        <v>129</v>
      </c>
      <c r="M21" s="13" t="inlineStr">
        <is>
          <t>behouden</t>
        </is>
      </c>
      <c r="N21" s="15">
        <f>I21*K21</f>
        <v/>
      </c>
      <c r="O21" s="13" t="inlineStr">
        <is>
          <t>NL/EU · 2–4 werkdagen (tado° levert NL)</t>
        </is>
      </c>
      <c r="P21" s="13" t="inlineStr">
        <is>
          <t>tado° Shop</t>
        </is>
      </c>
      <c r="Q21" s="13" t="inlineStr">
        <is>
          <t>https://shop.tado.com/nl-bx/products/wireless-smart-thermostat-x-starter-kit</t>
        </is>
      </c>
      <c r="R21" s="13" t="inlineStr">
        <is>
          <t>NL</t>
        </is>
      </c>
      <c r="S21" s="15" t="n">
        <v>150</v>
      </c>
      <c r="T21" s="13" t="inlineStr">
        <is>
          <t>Schaalt met ruimten. Officiële shop goedkoopst.</t>
        </is>
      </c>
      <c r="U21" s="28" t="inlineStr">
        <is>
          <t>ZEKER — tado° NL-shop</t>
        </is>
      </c>
    </row>
    <row r="22">
      <c r="A22" s="16" t="inlineStr">
        <is>
          <t>Vloerverwarming</t>
        </is>
      </c>
      <c r="B22" s="13" t="n">
        <v>17</v>
      </c>
      <c r="C22" s="13" t="inlineStr">
        <is>
          <t>tado_bedraad</t>
        </is>
      </c>
      <c r="D22" s="13" t="inlineStr">
        <is>
          <t>Regeling</t>
        </is>
      </c>
      <c r="E22" s="13" t="inlineStr">
        <is>
          <t>tado° Slimme Thermostaat X Starterskit bedraad + Bridge X</t>
        </is>
      </c>
      <c r="F22" s="13" t="inlineStr">
        <is>
          <t>TADO-WX-W</t>
        </is>
      </c>
      <c r="G22" s="13" t="inlineStr">
        <is>
          <t>Wired starter + Bridge.</t>
        </is>
      </c>
      <c r="H22" s="13" t="inlineStr">
        <is>
          <t>Kamer 1 + netwerk.</t>
        </is>
      </c>
      <c r="I22" s="17" t="n">
        <v>1</v>
      </c>
      <c r="J22" s="13" t="inlineStr">
        <is>
          <t>set</t>
        </is>
      </c>
      <c r="K22" s="15" t="n">
        <v>129.99</v>
      </c>
      <c r="L22" s="15" t="n">
        <v>129.99</v>
      </c>
      <c r="M22" s="13" t="inlineStr">
        <is>
          <t>upgrade</t>
        </is>
      </c>
      <c r="N22" s="15">
        <f>I22*K22</f>
        <v/>
      </c>
      <c r="O22" s="13" t="inlineStr">
        <is>
          <t>NL/EU · 2–4 werkdagen</t>
        </is>
      </c>
      <c r="P22" s="13" t="inlineStr">
        <is>
          <t>tado° Shop</t>
        </is>
      </c>
      <c r="Q22" s="13" t="inlineStr">
        <is>
          <t>https://shop.tado.com/nl-bx/products/smart-thermostat-x-starter-kit-1</t>
        </is>
      </c>
      <c r="R22" s="13" t="inlineStr">
        <is>
          <t>NL</t>
        </is>
      </c>
      <c r="S22" s="15" t="n">
        <v>150</v>
      </c>
      <c r="T22" s="13" t="inlineStr">
        <is>
          <t>Aanbevolen pad (bedraad).</t>
        </is>
      </c>
      <c r="U22" s="28" t="inlineStr">
        <is>
          <t>ZEKER — tado° NL-shop</t>
        </is>
      </c>
    </row>
    <row r="23">
      <c r="A23" s="16" t="inlineStr">
        <is>
          <t>Vloerverwarming</t>
        </is>
      </c>
      <c r="B23" s="13" t="n">
        <v>18</v>
      </c>
      <c r="C23" s="13" t="inlineStr">
        <is>
          <t>tado_bedraad</t>
        </is>
      </c>
      <c r="D23" s="13" t="inlineStr">
        <is>
          <t>Regeling</t>
        </is>
      </c>
      <c r="E23" s="13" t="inlineStr">
        <is>
          <t>tado° Slimme Thermostaat X bedraad (uitbreiding)</t>
        </is>
      </c>
      <c r="F23" s="13" t="inlineStr">
        <is>
          <t>TADO-WX-E</t>
        </is>
      </c>
      <c r="G23" s="13" t="inlineStr">
        <is>
          <t>Extra bedrade thermostaat.</t>
        </is>
      </c>
      <c r="H23" s="13" t="inlineStr">
        <is>
          <t>Kamer 2…N.</t>
        </is>
      </c>
      <c r="I23" s="14">
        <f>MAX(0,Parameters!$B$6-1)</f>
        <v/>
      </c>
      <c r="J23" s="13" t="inlineStr">
        <is>
          <t>st</t>
        </is>
      </c>
      <c r="K23" s="15" t="n">
        <v>100</v>
      </c>
      <c r="L23" s="15" t="n">
        <v>100</v>
      </c>
      <c r="M23" s="13" t="inlineStr">
        <is>
          <t>upgrade</t>
        </is>
      </c>
      <c r="N23" s="15">
        <f>I23*K23</f>
        <v/>
      </c>
      <c r="O23" s="13" t="inlineStr">
        <is>
          <t>NL/EU · 2–4 werkdagen</t>
        </is>
      </c>
      <c r="P23" s="13" t="inlineStr">
        <is>
          <t>tado° Shop</t>
        </is>
      </c>
      <c r="Q23" s="13" t="inlineStr">
        <is>
          <t>https://shop.tado.com/nl-bx/products/smart-thermostat-x-wired</t>
        </is>
      </c>
      <c r="R23" s="13" t="inlineStr">
        <is>
          <t>NL</t>
        </is>
      </c>
      <c r="S23" s="15" t="n">
        <v>150</v>
      </c>
      <c r="T23" s="13" t="inlineStr">
        <is>
          <t>Schaalt met ruimten−1.</t>
        </is>
      </c>
      <c r="U23" s="28" t="inlineStr">
        <is>
          <t>ZEKER — tado° NL-shop</t>
        </is>
      </c>
    </row>
    <row r="24">
      <c r="A24" s="12" t="inlineStr">
        <is>
          <t>Vloerverwarming</t>
        </is>
      </c>
      <c r="B24" s="13" t="n">
        <v>19</v>
      </c>
      <c r="C24" s="13" t="inlineStr">
        <is>
          <t>tado_optie</t>
        </is>
      </c>
      <c r="D24" s="13" t="inlineStr">
        <is>
          <t>Regeling</t>
        </is>
      </c>
      <c r="E24" s="13" t="inlineStr">
        <is>
          <t>tado° Bridge X (extra indien nodig)</t>
        </is>
      </c>
      <c r="F24" s="13" t="inlineStr">
        <is>
          <t>TADO-BR</t>
        </is>
      </c>
      <c r="G24" s="13" t="inlineStr">
        <is>
          <t>Alleen bij bereikproblemen.</t>
        </is>
      </c>
      <c r="H24" s="13" t="inlineStr">
        <is>
          <t>Optioneel.</t>
        </is>
      </c>
      <c r="I24" s="17" t="n">
        <v>0</v>
      </c>
      <c r="J24" s="13" t="inlineStr">
        <is>
          <t>st</t>
        </is>
      </c>
      <c r="K24" s="15" t="n">
        <v>68</v>
      </c>
      <c r="L24" s="15" t="n">
        <v>68</v>
      </c>
      <c r="M24" s="13" t="inlineStr">
        <is>
          <t>behouden</t>
        </is>
      </c>
      <c r="N24" s="15">
        <f>I24*K24</f>
        <v/>
      </c>
      <c r="O24" s="13" t="inlineStr">
        <is>
          <t>NL/EU · 2–4 werkdagen</t>
        </is>
      </c>
      <c r="P24" s="13" t="inlineStr">
        <is>
          <t>tado° Shop</t>
        </is>
      </c>
      <c r="Q24" s="13" t="inlineStr">
        <is>
          <t>https://shop.tado.com/nl-bx/</t>
        </is>
      </c>
      <c r="R24" s="13" t="inlineStr">
        <is>
          <t>NL</t>
        </is>
      </c>
      <c r="S24" s="15" t="n">
        <v>150</v>
      </c>
      <c r="T24" s="13" t="inlineStr">
        <is>
          <t>Standaard 0; handmatig verhogen indien nodig.</t>
        </is>
      </c>
      <c r="U24" s="28" t="inlineStr">
        <is>
          <t>ZEKER — tado° NL-shop</t>
        </is>
      </c>
    </row>
    <row r="26">
      <c r="A26" t="inlineStr">
        <is>
          <t>Groen = hoeveelheid-formule (schaalt). Totaal = Hoeveelheid × Prijs/st. Verzendkosten: sheet Verzending.</t>
        </is>
      </c>
    </row>
  </sheetData>
  <autoFilter ref="A5:T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  <col width="48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All-in check — SlimFit op beton ≤30 mm</t>
        </is>
      </c>
    </row>
    <row r="2">
      <c r="A2" t="inlineStr">
        <is>
          <t>Terug naar SlimFit-BOM: zandcement paste niet in 3 cm. Beton + 22 mm egaline = kwalitatief best haalbaar.</t>
        </is>
      </c>
    </row>
    <row r="3">
      <c r="A3" s="21" t="inlineStr">
        <is>
          <t>Verdict: SlimFit-pad behouden t.o.v. nat systeem i.v.m. hoogte. Shops all-in ongewijzigd t.o.v. eerdere SlimFit-revisie.</t>
        </is>
      </c>
    </row>
    <row r="5">
      <c r="A5" s="22" t="inlineStr">
        <is>
          <t>#</t>
        </is>
      </c>
      <c r="B5" s="22" t="inlineStr">
        <is>
          <t>Artikel</t>
        </is>
      </c>
      <c r="C5" s="22" t="inlineStr">
        <is>
          <t>Gekozen (all-in)</t>
        </is>
      </c>
      <c r="D5" s="22" t="inlineStr">
        <is>
          <t>Alternatief all-in</t>
        </is>
      </c>
      <c r="E5" s="22" t="inlineStr">
        <is>
          <t>Δ</t>
        </is>
      </c>
      <c r="F5" s="22" t="inlineStr">
        <is>
          <t>NL-leverbaar?</t>
        </is>
      </c>
      <c r="G5" s="22" t="inlineStr">
        <is>
          <t>Verdict</t>
        </is>
      </c>
    </row>
    <row r="6">
      <c r="A6" s="13" t="n">
        <v>1</v>
      </c>
      <c r="B6" s="13" t="inlineStr">
        <is>
          <t>SlimFit matten 8×</t>
        </is>
      </c>
      <c r="C6" s="13" t="inlineStr">
        <is>
          <t>Elektramat €695,52 (ship €0; order ≫ €150 excl)</t>
        </is>
      </c>
      <c r="D6" s="13" t="inlineStr">
        <is>
          <t>123IM €711,92 · VV-direct €712</t>
        </is>
      </c>
      <c r="E6" s="13" t="inlineStr">
        <is>
          <t>−€16…€17</t>
        </is>
      </c>
      <c r="F6" s="13" t="inlineStr">
        <is>
          <t>Ja NL 1 wd</t>
        </is>
      </c>
      <c r="G6" s="23" t="inlineStr">
        <is>
          <t>BEHOUDEN</t>
        </is>
      </c>
    </row>
    <row r="7">
      <c r="A7" s="13" t="n">
        <v>2</v>
      </c>
      <c r="B7" s="13" t="inlineStr">
        <is>
          <t>PE-RT 300 m</t>
        </is>
      </c>
      <c r="C7" s="13" t="inlineStr">
        <is>
          <t>123IM €142,93 + €6,95 ship ≈ €149,88 (order &lt;€200)</t>
        </is>
      </c>
      <c r="D7" s="13" t="inlineStr">
        <is>
          <t>Elektramat €181,86 (ship €0 in combi)</t>
        </is>
      </c>
      <c r="E7" s="13" t="inlineStr">
        <is>
          <t>−€32</t>
        </is>
      </c>
      <c r="F7" s="13" t="inlineStr">
        <is>
          <t>Ja NL morgen</t>
        </is>
      </c>
      <c r="G7" s="23" t="inlineStr">
        <is>
          <t>BEHOUDEN</t>
        </is>
      </c>
    </row>
    <row r="8">
      <c r="A8" s="13" t="n">
        <v>3</v>
      </c>
      <c r="B8" s="13" t="inlineStr">
        <is>
          <t>Kreisel 418 33× + primer</t>
        </is>
      </c>
      <c r="C8" s="13" t="inlineStr">
        <is>
          <t>EgalineXXL €509,29 + pallet €60,50 = €569,79</t>
        </is>
      </c>
      <c r="D8" s="13" t="inlineStr">
        <is>
          <t>RBMB duurder/stuk · extra kopen tot €600 excl ≈ €610+</t>
        </is>
      </c>
      <c r="E8" s="13" t="inlineStr">
        <is>
          <t>−€40…</t>
        </is>
      </c>
      <c r="F8" s="13" t="inlineStr">
        <is>
          <t>Ja NL pallet</t>
        </is>
      </c>
      <c r="G8" s="23" t="inlineStr">
        <is>
          <t>BEHOUDEN</t>
        </is>
      </c>
    </row>
    <row r="9">
      <c r="A9" s="13" t="n">
        <v>4</v>
      </c>
      <c r="B9" s="13" t="inlineStr">
        <is>
          <t>VTE Composiet 4-gr.</t>
        </is>
      </c>
      <c r="C9" s="13" t="inlineStr">
        <is>
          <t>123Installatieshop €387,18 (ship €0 ≥€150)</t>
        </is>
      </c>
      <c r="D9" s="13" t="inlineStr">
        <is>
          <t>VV-shop €405 · CVTotaal €423 · Jan Isolatieman €469</t>
        </is>
      </c>
      <c r="E9" s="13" t="inlineStr">
        <is>
          <t>−€18…€82</t>
        </is>
      </c>
      <c r="F9" s="13" t="inlineStr">
        <is>
          <t>Ja NL ≤1 wk</t>
        </is>
      </c>
      <c r="G9" s="23" t="inlineStr">
        <is>
          <t>BEHOUDEN</t>
        </is>
      </c>
    </row>
    <row r="10">
      <c r="A10" s="13" t="n">
        <v>5</v>
      </c>
      <c r="B10" s="13" t="inlineStr">
        <is>
          <t>Möhlenhoff Alpha 5 ×4</t>
        </is>
      </c>
      <c r="C10" s="13" t="inlineStr">
        <is>
          <t>eibhandel.de €39,96 + €15,41 = €55,37</t>
        </is>
      </c>
      <c r="D10" s="13" t="inlineStr">
        <is>
          <t>Amazon~€52,64* · Home Perfect €69,94 · VerwarmingOnline €87,43</t>
        </is>
      </c>
      <c r="E10" s="13" t="inlineStr">
        <is>
          <t>beste bevestigd</t>
        </is>
      </c>
      <c r="F10" s="13" t="inlineStr">
        <is>
          <t>Ja DE→NL DHL</t>
        </is>
      </c>
      <c r="G10" s="23" t="inlineStr">
        <is>
          <t>BEHOUDEN</t>
        </is>
      </c>
    </row>
    <row r="11">
      <c r="A11" s="13" t="n">
        <v>6</v>
      </c>
      <c r="B11" s="13" t="inlineStr">
        <is>
          <t>NMC Climasol 3×</t>
        </is>
      </c>
      <c r="C11" s="13" t="inlineStr">
        <is>
          <t>Installand €71,97 (ship €0 ≥€60)</t>
        </is>
      </c>
      <c r="D11" s="13" t="inlineStr">
        <is>
          <t>Generiek Distriheat goedkoper maar mindere kwaliteit</t>
        </is>
      </c>
      <c r="E11" s="13" t="inlineStr">
        <is>
          <t>kwaliteit</t>
        </is>
      </c>
      <c r="F11" s="13" t="inlineStr">
        <is>
          <t>Ja NL</t>
        </is>
      </c>
      <c r="G11" s="23" t="inlineStr">
        <is>
          <t>BEHOUDEN</t>
        </is>
      </c>
    </row>
    <row r="12">
      <c r="A12" s="13" t="n">
        <v>7</v>
      </c>
      <c r="B12" s="13" t="inlineStr">
        <is>
          <t>H64-CC + slaves</t>
        </is>
      </c>
      <c r="C12" s="13" t="inlineStr">
        <is>
          <t>Warp Systems €194,92 + 2×€44,58 (NL)</t>
        </is>
      </c>
      <c r="D12" s="13" t="inlineStr">
        <is>
          <t>123IM H64-CC was €213,74</t>
        </is>
      </c>
      <c r="E12" s="13" t="inlineStr">
        <is>
          <t>−€19 CC</t>
        </is>
      </c>
      <c r="F12" s="13" t="inlineStr">
        <is>
          <t>Ja NL 1 wd</t>
        </is>
      </c>
      <c r="G12" s="23" t="inlineStr">
        <is>
          <t>BEHOUDEN</t>
        </is>
      </c>
    </row>
    <row r="13">
      <c r="A13" s="13" t="n">
        <v>8</v>
      </c>
      <c r="B13" s="13" t="inlineStr">
        <is>
          <t>Tado bedraad 3 ruimten</t>
        </is>
      </c>
      <c r="C13" s="13" t="inlineStr">
        <is>
          <t>tado° Shop €329,99 (ship €0 ≥€150)</t>
        </is>
      </c>
      <c r="D13" s="13" t="inlineStr">
        <is>
          <t>bol/retail vaak €189–€194 per starter alleen</t>
        </is>
      </c>
      <c r="E13" s="13" t="inlineStr">
        <is>
          <t>goedkoopst</t>
        </is>
      </c>
      <c r="F13" s="13" t="inlineStr">
        <is>
          <t>Ja NL/EU</t>
        </is>
      </c>
      <c r="G13" s="23" t="inlineStr">
        <is>
          <t>BEHOUDEN</t>
        </is>
      </c>
    </row>
    <row r="15">
      <c r="A15" s="3" t="inlineStr">
        <is>
          <t>Consolidatie-check (minder shops = minder verzending?)</t>
        </is>
      </c>
    </row>
    <row r="16">
      <c r="A16" t="inlineStr">
        <is>
          <t>• PE-RT meenemen bij Elektramat (zelfde order als SlimFit): all-in €181,86 i.p.v. ~€149,88 → NIET doen.</t>
        </is>
      </c>
    </row>
    <row r="17">
      <c r="A17" t="inlineStr">
        <is>
          <t>• Extra egaline kopen tot gratis drempel (€600 excl): duurder dan pallet betalen → NIET doen.</t>
        </is>
      </c>
    </row>
    <row r="18">
      <c r="A18" t="inlineStr">
        <is>
          <t>• Actuators bij VerwarmingOnline (pure NL): +€32 vs eibhandel → alleen als je DE wilt vermijden.</t>
        </is>
      </c>
    </row>
    <row r="19">
      <c r="A19" t="inlineStr">
        <is>
          <t>• Home Perfect (€10,01/st) lijkt scherp maar +€29,90 ship + 7–10 wd → all-in slechter én trager.</t>
        </is>
      </c>
    </row>
    <row r="21">
      <c r="A21" s="3" t="inlineStr">
        <is>
          <t>Buitenland / NL-zekerheid</t>
        </is>
      </c>
    </row>
    <row r="22">
      <c r="A22" t="inlineStr">
        <is>
          <t>Enige buitenlandse shop: eibhandel.de (actuators). Levert naar NL (DHL zone 1), verzending €15,41 incl, levertijd 2–5 wd DE (+NL-transit, meestal ≤1 week).</t>
        </is>
      </c>
    </row>
    <row r="23">
      <c r="A23" t="inlineStr">
        <is>
          <t>Alles overige: Nederlandse webshops met snelle levering.</t>
        </is>
      </c>
    </row>
    <row r="24">
      <c r="A24" t="inlineStr">
        <is>
          <t>* Amazon.nl-prijs is indicatief (listings wisselen); eibhandel is stabiel bevestigd all-in.</t>
        </is>
      </c>
    </row>
    <row r="26">
      <c r="A26" s="3" t="inlineStr">
        <is>
          <t>Live totalen (formules, schalen met m²)</t>
        </is>
      </c>
    </row>
    <row r="27">
      <c r="A27" t="inlineStr">
        <is>
          <t>Basis artikelen</t>
        </is>
      </c>
      <c r="B27" s="6">
        <f>Overzicht!B10</f>
        <v/>
      </c>
    </row>
    <row r="28">
      <c r="A28" t="inlineStr">
        <is>
          <t>Basis verzending</t>
        </is>
      </c>
      <c r="B28" s="6">
        <f>Overzicht!C10</f>
        <v/>
      </c>
    </row>
    <row r="29">
      <c r="A29" t="inlineStr">
        <is>
          <t>Basis all-in</t>
        </is>
      </c>
      <c r="B29" s="6">
        <f>Overzicht!D10</f>
        <v/>
      </c>
    </row>
    <row r="30">
      <c r="A30" t="inlineStr">
        <is>
          <t>All-in + Tado bedraad</t>
        </is>
      </c>
      <c r="B30" s="6">
        <f>Overzicht!D11</f>
        <v/>
      </c>
    </row>
    <row r="32">
      <c r="A32" t="inlineStr">
        <is>
          <t>NL-update: schakelaar Parameters!B8. Default DE→NL blijft goedkoopst all-in; kies NL zeker indien je geen import wilt.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4" customWidth="1" min="4" max="4"/>
    <col width="14" customWidth="1" min="5" max="5"/>
    <col width="12" customWidth="1" min="6" max="6"/>
    <col width="18" customWidth="1" min="7" max="7"/>
    <col width="50" customWidth="1" min="8" max="8"/>
  </cols>
  <sheetData>
    <row r="1">
      <c r="A1" s="1" t="inlineStr">
        <is>
          <t>Verzendkosten — berekend all-in (NL-leverbaar)</t>
        </is>
      </c>
    </row>
    <row r="2">
      <c r="A2" t="inlineStr">
        <is>
          <t>Alleen shops die écht naar NL leveren. Buitenland = verzending + levertijd meegenomen. Onder drempel → kosten; daarboven → €0.</t>
        </is>
      </c>
    </row>
    <row r="3"/>
    <row r="4">
      <c r="A4" s="4" t="inlineStr">
        <is>
          <t>Shop</t>
        </is>
      </c>
      <c r="B4" s="4" t="inlineStr">
        <is>
          <t>Land</t>
        </is>
      </c>
      <c r="C4" s="4" t="inlineStr">
        <is>
          <t>Subtotaal artikelen</t>
        </is>
      </c>
      <c r="D4" s="4" t="inlineStr">
        <is>
          <t>Drempel gratis</t>
        </is>
      </c>
      <c r="E4" s="4" t="inlineStr">
        <is>
          <t>Verzendkosten</t>
        </is>
      </c>
      <c r="F4" s="4" t="inlineStr">
        <is>
          <t>All-in shop</t>
        </is>
      </c>
      <c r="G4" s="4" t="inlineStr">
        <is>
          <t>Levertijd</t>
        </is>
      </c>
      <c r="H4" s="4" t="inlineStr">
        <is>
          <t>Opmerking</t>
        </is>
      </c>
    </row>
    <row r="5">
      <c r="A5" t="inlineStr">
        <is>
          <t>Elektramat</t>
        </is>
      </c>
      <c r="B5" t="inlineStr">
        <is>
          <t>NL</t>
        </is>
      </c>
      <c r="C5" s="5">
        <f>SUMIFS(Boodschappenlijst!$N$6:$N$24,Boodschappenlijst!$P$6:$P$24,A5,Boodschappenlijst!$C$6:$C$24,"altijd")</f>
        <v/>
      </c>
      <c r="D5" s="5" t="n">
        <v>150</v>
      </c>
      <c r="E5" s="5">
        <f>IF(C5&lt;=0,0,IF(C5/1.21&gt;=150,0,4.95))</f>
        <v/>
      </c>
      <c r="F5" s="5">
        <f>C5+E5</f>
        <v/>
      </c>
      <c r="G5" t="inlineStr">
        <is>
          <t>1 werkdag</t>
        </is>
      </c>
      <c r="H5" t="inlineStr">
        <is>
          <t>Drempel €150 excl. btw; onder: €4,09 excl ≈ €4,95 incl</t>
        </is>
      </c>
    </row>
    <row r="6">
      <c r="A6" t="inlineStr">
        <is>
          <t>123InstallatieMaterialen</t>
        </is>
      </c>
      <c r="B6" t="inlineStr">
        <is>
          <t>NL</t>
        </is>
      </c>
      <c r="C6" s="5">
        <f>SUMIFS(Boodschappenlijst!$N$6:$N$24,Boodschappenlijst!$P$6:$P$24,A6,Boodschappenlijst!$C$6:$C$24,"altijd")</f>
        <v/>
      </c>
      <c r="D6" s="5" t="n">
        <v>200</v>
      </c>
      <c r="E6" s="5">
        <f>IF(C6&lt;=0,0,IF(C6&gt;=200,0,6.95))</f>
        <v/>
      </c>
      <c r="F6" s="5">
        <f>C6+E6</f>
        <v/>
      </c>
      <c r="G6" t="inlineStr">
        <is>
          <t>morgen</t>
        </is>
      </c>
      <c r="H6" t="inlineStr">
        <is>
          <t>Buis+bochten vaak &lt;€200 → €6,95 verzending; all-in nog steeds goedkoper dan Elektramat-buis</t>
        </is>
      </c>
    </row>
    <row r="7">
      <c r="A7" t="inlineStr">
        <is>
          <t>123Installatieshop</t>
        </is>
      </c>
      <c r="B7" t="inlineStr">
        <is>
          <t>NL</t>
        </is>
      </c>
      <c r="C7" s="5">
        <f>SUMIFS(Boodschappenlijst!$N$6:$N$24,Boodschappenlijst!$P$6:$P$24,A7,Boodschappenlijst!$C$6:$C$24,"altijd")</f>
        <v/>
      </c>
      <c r="D7" s="5" t="n">
        <v>150</v>
      </c>
      <c r="E7" s="5">
        <f>IF(C7&lt;=0,0,IF(C7&gt;=150,0,6.95))</f>
        <v/>
      </c>
      <c r="F7" s="5">
        <f>C7+E7</f>
        <v/>
      </c>
      <c r="G7" t="inlineStr">
        <is>
          <t>≤1 week</t>
        </is>
      </c>
      <c r="H7" t="inlineStr">
        <is>
          <t>Verdeler alleen al &gt;€150 → gratis verzending</t>
        </is>
      </c>
    </row>
    <row r="8">
      <c r="A8" t="inlineStr">
        <is>
          <t>EgalineXXL</t>
        </is>
      </c>
      <c r="B8" t="inlineStr">
        <is>
          <t>NL</t>
        </is>
      </c>
      <c r="C8" s="5">
        <f>SUMIFS(Boodschappenlijst!$N$6:$N$24,Boodschappenlijst!$P$6:$P$24,A8,Boodschappenlijst!$C$6:$C$24,"altijd")</f>
        <v/>
      </c>
      <c r="D8" s="5" t="n">
        <v>600</v>
      </c>
      <c r="E8" s="5">
        <f>IF(C8&lt;=0,0,IF(C8/1.21&gt;=600,0,60.5))</f>
        <v/>
      </c>
      <c r="F8" s="5">
        <f>C8+E8</f>
        <v/>
      </c>
      <c r="G8" t="inlineStr">
        <is>
          <t>1–2 wd / pallet</t>
        </is>
      </c>
      <c r="H8" t="inlineStr">
        <is>
          <t>Primer+egaline; drempel €600 excl. btw → deel door 1,21; pallet €60,50 incl</t>
        </is>
      </c>
    </row>
    <row r="9">
      <c r="A9">
        <f>IF(ISNUMBER(SEARCH("NL zeker",Parameters!$B$8)),"VerwarmingOnline","eibhandel.de")</f>
        <v/>
      </c>
      <c r="B9">
        <f>IF(ISNUMBER(SEARCH("NL zeker",Parameters!$B$8)),"NL","DE→NL")</f>
        <v/>
      </c>
      <c r="C9" s="5">
        <f>Boodschappenlijst!N17</f>
        <v/>
      </c>
      <c r="D9" s="5">
        <f>IF(ISNUMBER(SEARCH("NL zeker",Parameters!$B$8)),385,1000)</f>
        <v/>
      </c>
      <c r="E9" s="5">
        <f>IF(C9&lt;=0,0,IF(ISNUMBER(SEARCH("NL zeker",Parameters!$B$8)),IF(C9&gt;=385,0,6.95),IF(C9&gt;=1000,0,15.41)))</f>
        <v/>
      </c>
      <c r="F9" s="5">
        <f>C9+E9</f>
        <v/>
      </c>
      <c r="G9">
        <f>IF(ISNUMBER(SEARCH("NL zeker",Parameters!$B$8)),"NL 3–4 wd","DE→NL 2–5+ wd")</f>
        <v/>
      </c>
      <c r="H9" t="inlineStr">
        <is>
          <t>Volgt Parameters!B8. DE: DHL zone 1 NL €15,41. NL: VerwarmingOnline drempel €385.</t>
        </is>
      </c>
    </row>
    <row r="10">
      <c r="A10" t="inlineStr">
        <is>
          <t>Warp Systems</t>
        </is>
      </c>
      <c r="B10" t="inlineStr">
        <is>
          <t>NL</t>
        </is>
      </c>
      <c r="C10" s="5">
        <f>SUMIFS(Boodschappenlijst!$N$6:$N$24,Boodschappenlijst!$P$6:$P$24,A10,Boodschappenlijst!$C$6:$C$24,"h64")</f>
        <v/>
      </c>
      <c r="D10" s="5" t="n">
        <v>0</v>
      </c>
      <c r="E10" s="5" t="n">
        <v>0</v>
      </c>
      <c r="F10" s="5">
        <f>C10+E10</f>
        <v/>
      </c>
      <c r="G10" t="inlineStr">
        <is>
          <t>1 werkdag</t>
        </is>
      </c>
      <c r="H10" t="inlineStr">
        <is>
          <t>Alleen bij H64-pad</t>
        </is>
      </c>
    </row>
    <row r="11">
      <c r="A11" t="inlineStr">
        <is>
          <t>tado° Shop</t>
        </is>
      </c>
      <c r="B11" t="inlineStr">
        <is>
          <t>NL</t>
        </is>
      </c>
      <c r="C11" s="5">
        <f>SUMIFS(Boodschappenlijst!$N$6:$N$24,Boodschappenlijst!$P$6:$P$24,A11,Boodschappenlijst!$C$6:$C$24,"tado_bedraad")+SUMIFS(Boodschappenlijst!$N$6:$N$24,Boodschappenlijst!$P$6:$P$24,A11,Boodschappenlijst!$C$6:$C$24,"tado_draadloos")</f>
        <v/>
      </c>
      <c r="D11" s="5" t="n">
        <v>150</v>
      </c>
      <c r="E11" s="5">
        <f>IF(C11&lt;=0,0,IF(C11&gt;=150,0,4.99))</f>
        <v/>
      </c>
      <c r="F11" s="5">
        <f>C11+E11</f>
        <v/>
      </c>
      <c r="G11" t="inlineStr">
        <is>
          <t>2–4 wd</t>
        </is>
      </c>
      <c r="H11" t="inlineStr">
        <is>
          <t>Alleen bij Tado-pad</t>
        </is>
      </c>
    </row>
    <row r="12">
      <c r="A12" t="inlineStr">
        <is>
          <t>Installand</t>
        </is>
      </c>
      <c r="B12" t="inlineStr">
        <is>
          <t>NL</t>
        </is>
      </c>
      <c r="C12" s="5">
        <f>SUMIFS(Boodschappenlijst!$N$6:$N$24,Boodschappenlijst!$P$6:$P$24,A12,Boodschappenlijst!$C$6:$C$24,"altijd")</f>
        <v/>
      </c>
      <c r="D12" s="5" t="n">
        <v>60</v>
      </c>
      <c r="E12" s="5">
        <f>IF(C12&lt;=0,0,IF(C12&gt;=60,0,6.95))</f>
        <v/>
      </c>
      <c r="F12" s="5">
        <f>C12+E12</f>
        <v/>
      </c>
      <c r="G12" t="inlineStr">
        <is>
          <t>≤1 week</t>
        </is>
      </c>
      <c r="H12" t="inlineStr">
        <is>
          <t>Gratis vanaf €60; 3 rollen Climasol ≈ €72 → meestal gratis</t>
        </is>
      </c>
    </row>
    <row r="13"/>
    <row r="14">
      <c r="A14" t="inlineStr">
        <is>
          <t>Totaal verzending BASIS (altijd-shops, excl. regeling)</t>
        </is>
      </c>
      <c r="B14" s="5">
        <f>E5+E6+E7+E8+E9+E12</f>
        <v/>
      </c>
    </row>
    <row r="15">
      <c r="A15" t="inlineStr">
        <is>
          <t>Totaal verzending + Tado bedraad</t>
        </is>
      </c>
      <c r="B15" s="5">
        <f>B14+E11</f>
        <v/>
      </c>
    </row>
    <row r="16">
      <c r="A16" t="inlineStr">
        <is>
          <t>Totaal verzending + H64</t>
        </is>
      </c>
      <c r="B16" s="5">
        <f>B14+E10</f>
        <v/>
      </c>
    </row>
    <row r="17"/>
    <row r="18">
      <c r="A18" s="3" t="inlineStr">
        <is>
          <t>Actuators — all-in &amp; NL-zekerheid (live t.o.v. Parameters!B8)</t>
        </is>
      </c>
    </row>
    <row r="19">
      <c r="A19" s="4" t="inlineStr">
        <is>
          <t>Optie</t>
        </is>
      </c>
      <c r="B19" s="4" t="inlineStr">
        <is>
          <t>Stuksprijs</t>
        </is>
      </c>
      <c r="C19" s="4" t="inlineStr">
        <is>
          <t>× groepen</t>
        </is>
      </c>
      <c r="D19" s="4" t="inlineStr">
        <is>
          <t>Verzending</t>
        </is>
      </c>
      <c r="E19" s="4" t="inlineStr">
        <is>
          <t>All-in</t>
        </is>
      </c>
      <c r="F19" s="4" t="inlineStr">
        <is>
          <t>NL-zeker?</t>
        </is>
      </c>
    </row>
    <row r="20">
      <c r="A20" t="inlineStr">
        <is>
          <t>eibhandel.de (gekozen)</t>
        </is>
      </c>
      <c r="B20" s="5" t="n">
        <v>9.99</v>
      </c>
      <c r="C20" s="5">
        <f>B20*Parameters!$B$5</f>
        <v/>
      </c>
      <c r="D20" s="5" t="n">
        <v>15.41</v>
      </c>
      <c r="E20" s="5">
        <f>C20+D20</f>
        <v/>
      </c>
      <c r="F20" t="inlineStr">
        <is>
          <t>Ja — DHL zone 1 NL, kosten expliciet</t>
        </is>
      </c>
    </row>
    <row r="21">
      <c r="A21" t="inlineStr">
        <is>
          <t>Amazon.nl (indicatief)</t>
        </is>
      </c>
      <c r="B21" s="5" t="n">
        <v>13.16</v>
      </c>
      <c r="C21" s="5">
        <f>B21*Parameters!$B$5</f>
        <v/>
      </c>
      <c r="D21" s="5" t="n">
        <v>0</v>
      </c>
      <c r="E21" s="5">
        <f>C21+D21</f>
        <v/>
      </c>
      <c r="F21" t="inlineStr">
        <is>
          <t>Ja — Prime NL; check actuele listing/voorraad</t>
        </is>
      </c>
    </row>
    <row r="22">
      <c r="A22" t="inlineStr">
        <is>
          <t>Home Perfect NL/DE</t>
        </is>
      </c>
      <c r="B22" s="5" t="n">
        <v>10.01</v>
      </c>
      <c r="C22" s="5">
        <f>B22*Parameters!$B$5</f>
        <v/>
      </c>
      <c r="D22" s="5" t="n">
        <v>29.9</v>
      </c>
      <c r="E22" s="5">
        <f>C22+D22</f>
        <v/>
      </c>
      <c r="F22" t="inlineStr">
        <is>
          <t>Nee/matig — €29,90 ship + 7–10 wd</t>
        </is>
      </c>
    </row>
    <row r="23">
      <c r="A23" t="inlineStr">
        <is>
          <t>VerwarmingOnline NL</t>
        </is>
      </c>
      <c r="B23" s="5" t="n">
        <v>20.12</v>
      </c>
      <c r="C23" s="5">
        <f>B23*Parameters!$B$5</f>
        <v/>
      </c>
      <c r="D23" s="5">
        <f>IF(C23&gt;=385,0,6.95)</f>
        <v/>
      </c>
      <c r="E23" s="5">
        <f>C23+D23</f>
        <v/>
      </c>
      <c r="F23" t="inlineStr">
        <is>
          <t>Ja — NL, maar duurder all-in</t>
        </is>
      </c>
    </row>
    <row r="24">
      <c r="A24" s="24" t="inlineStr">
        <is>
          <t>VERDICT actuators: eibhandel.de blijft goedkoopst all-in (~€55 bij 4 st). Amazon soms dichterbij. Home Perfect/VerwarmingOnline duurder.</t>
        </is>
      </c>
    </row>
    <row r="25">
      <c r="A25" s="20">
        <f>IF(ISNUMBER(SEARCH("NL zeker",Parameters!$B$8)),"Gekozen: NL zeker (VerwarmingOnline) — 100% NL-webshop.","Gekozen: DE→NL (eibhandel) — goedkoopst all-in, NL-levering via DHL met verzending+levertijd.")</f>
        <v/>
      </c>
    </row>
    <row r="26">
      <c r="A26" t="inlineStr">
        <is>
          <t>Zakken</t>
        </is>
      </c>
      <c r="B26">
        <f>Parameters!B15</f>
        <v/>
      </c>
    </row>
    <row r="27">
      <c r="A27" t="inlineStr">
        <is>
          <t>Artikelkosten</t>
        </is>
      </c>
      <c r="B27" s="5">
        <f>B26*14.87</f>
        <v/>
      </c>
    </row>
    <row r="28">
      <c r="A28" t="inlineStr">
        <is>
          <t>Excl. btw (≈ /1,21)</t>
        </is>
      </c>
      <c r="B28" s="5">
        <f>B27/1.21</f>
        <v/>
      </c>
    </row>
    <row r="29">
      <c r="A29" t="inlineStr">
        <is>
          <t>Verzending pallet</t>
        </is>
      </c>
      <c r="B29" s="5">
        <f>IF(B28&gt;=600,0,60.5)</f>
        <v/>
      </c>
    </row>
    <row r="30">
      <c r="A30" t="inlineStr">
        <is>
          <t>All-in egaline</t>
        </is>
      </c>
      <c r="B30" s="5">
        <f>B27+B29</f>
        <v/>
      </c>
    </row>
    <row r="31"/>
    <row r="32"/>
    <row r="33"/>
    <row r="34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1" t="inlineStr">
        <is>
          <t>KOPJE: Vloerverwarming — regeling</t>
        </is>
      </c>
    </row>
    <row r="3">
      <c r="A3" t="inlineStr">
        <is>
          <t>Kies hier je regeling →</t>
        </is>
      </c>
      <c r="B3" s="18" t="inlineStr">
        <is>
          <t>Tado bedraad (3 ruimten)</t>
        </is>
      </c>
    </row>
    <row r="5">
      <c r="A5" t="inlineStr">
        <is>
          <t>Tip: bedraad = kwalitatief preferabel. Aantal thermostaten schaalt via Parameters!Ruimten.</t>
        </is>
      </c>
    </row>
    <row r="6">
      <c r="A6" t="inlineStr">
        <is>
          <t>Opties: "Tado bedraad (…)" / "Tado draadloos" / "Magnum H64" — koop niet H64 én Tado samen.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KWALITEIT binnen 30 mm op BETON (aug 2026)</t>
        </is>
      </c>
    </row>
    <row r="2">
      <c r="A2" t="inlineStr">
        <is>
          <t>Randvoorwaarden: beton + max. 3 cm totale VV-opbouw → nat 16 mm/zandcement onmogelijk.</t>
        </is>
      </c>
    </row>
    <row r="3"/>
    <row r="4">
      <c r="A4" t="inlineStr">
        <is>
          <t>Beste haalbare keuze</t>
        </is>
      </c>
    </row>
    <row r="5">
      <c r="A5" t="inlineStr">
        <is>
          <t>MAGNUM SlimFit 12 + PE-RT 12×1,5 + Kreisel 418 vezel-egaline tot 22 mm (tot 30 mm max)</t>
        </is>
      </c>
    </row>
    <row r="6">
      <c r="A6" t="inlineStr">
        <is>
          <t>Waarom: Magnum-spec 17–22 mm past ruim in 30 mm. Beton = stijve ondergrond → veel minder “golven” dan op hout.</t>
        </is>
      </c>
    </row>
    <row r="7"/>
    <row r="8">
      <c r="A8" t="inlineStr">
        <is>
          <t>Bewust afgewezen</t>
        </is>
      </c>
    </row>
    <row r="9">
      <c r="A9" t="inlineStr">
        <is>
          <t>• Nat 16 mm + zandcement ≥50 mm: te hoog (~70–90 mm).</t>
        </is>
      </c>
    </row>
    <row r="10">
      <c r="A10" t="inlineStr">
        <is>
          <t>• Noppenplaat 28 mm: al ~28 mm zonder dekvloer → past niet + dekvloer.</t>
        </is>
      </c>
    </row>
    <row r="11">
      <c r="A11" t="inlineStr">
        <is>
          <t>• Heatboard droog: mogelijk, maar egaline-sandwich op beton is hier massiever/harder voor dezelfde hoogte.</t>
        </is>
      </c>
    </row>
    <row r="12"/>
    <row r="13">
      <c r="A13" t="inlineStr">
        <is>
          <t>Tips hardheid</t>
        </is>
      </c>
    </row>
    <row r="14">
      <c r="A14" t="inlineStr">
        <is>
          <t>1) Primer op beton. 2) Matten goed verlijmen. 3) Egaline tot min. 22 mm, liever dichter bij 28–30 mm als hoogte toelaat.</t>
        </is>
      </c>
    </row>
    <row r="15">
      <c r="A15" t="inlineStr">
        <is>
          <t>4) Afwerking: tegels &gt; PVC/laminaat voor het hardste gevoel (tegeldikte komt BOVENOP de 30 mm VV-opbouw).</t>
        </is>
      </c>
    </row>
    <row r="16">
      <c r="A16" t="inlineStr">
        <is>
          <t>5) Geen zachte ondervloer tussen beton en SlimFit.</t>
        </is>
      </c>
    </row>
    <row r="17"/>
    <row r="18">
      <c r="A18" t="inlineStr">
        <is>
          <t>Behouden upgrades: NMC Climasol, VTE Composiet+Grundfos, Möhlenhoff Alpha 5, Tado bedraad.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Prijszoek – SlimFit-BOM (beton, max 30 mm)</t>
        </is>
      </c>
    </row>
    <row r="2">
      <c r="A2" t="inlineStr">
        <is>
          <t>Gezocht NL + DE webshops, 22 aug 2026. Alleen gewijzigd als aantoonbaar goedkoper én binnen levertijd.</t>
        </is>
      </c>
    </row>
    <row r="4">
      <c r="A4" t="inlineStr">
        <is>
          <t>#</t>
        </is>
      </c>
      <c r="B4" t="inlineStr">
        <is>
          <t>Item (regeltotaal)</t>
        </is>
      </c>
      <c r="C4" t="inlineStr">
        <is>
          <t>Was</t>
        </is>
      </c>
      <c r="D4" t="inlineStr">
        <is>
          <t>Beste gevonden</t>
        </is>
      </c>
      <c r="E4" t="inlineStr">
        <is>
          <t>Actie</t>
        </is>
      </c>
      <c r="F4" t="inlineStr">
        <is>
          <t>Besparing</t>
        </is>
      </c>
    </row>
    <row r="5">
      <c r="A5" t="inlineStr">
        <is>
          <t>1</t>
        </is>
      </c>
      <c r="B5" t="inlineStr">
        <is>
          <t>MAGNUM SlimFit 12 matten (8×)</t>
        </is>
      </c>
      <c r="C5" t="inlineStr">
        <is>
          <t>Elektramat €86,94/st (€695,52)</t>
        </is>
      </c>
      <c r="D5" t="inlineStr">
        <is>
          <t>Bouwmaat €86,50 (geen voorraad/bezorging); VihamiJ €86,36 excl=duurder + 3–4 wkn; overige ≥€88,99</t>
        </is>
      </c>
      <c r="E5" t="inlineStr">
        <is>
          <t>BEHOUDEN Elektramat</t>
        </is>
      </c>
      <c r="F5" t="inlineStr">
        <is>
          <t>€0</t>
        </is>
      </c>
    </row>
    <row r="6">
      <c r="A6" t="inlineStr">
        <is>
          <t>2</t>
        </is>
      </c>
      <c r="B6" t="inlineStr">
        <is>
          <t>Kreisel 418 egaline (33×)</t>
        </is>
      </c>
      <c r="C6" t="inlineStr">
        <is>
          <t>EgalineXXL €14,87/st (€490,71)</t>
        </is>
      </c>
      <c r="D6" t="inlineStr">
        <is>
          <t>RBMB ≥€16,55/st (bulkpas pas vanaf 41); geen goedkopere met snelle levering</t>
        </is>
      </c>
      <c r="E6" t="inlineStr">
        <is>
          <t>BEHOUDEN EgalineXXL</t>
        </is>
      </c>
      <c r="F6" t="inlineStr">
        <is>
          <t>€0</t>
        </is>
      </c>
    </row>
    <row r="7">
      <c r="A7" t="inlineStr">
        <is>
          <t>3</t>
        </is>
      </c>
      <c r="B7" t="inlineStr">
        <is>
          <t>VTE Composiet 4-groeps + Grundfos</t>
        </is>
      </c>
      <c r="C7" t="inlineStr">
        <is>
          <t>123Installatieshop €387,18</t>
        </is>
      </c>
      <c r="D7" t="inlineStr">
        <is>
          <t>CVTotaal €423; VV-shop €404,95; Bouwbestel €440; Jan de Isolatieman €469</t>
        </is>
      </c>
      <c r="E7" t="inlineStr">
        <is>
          <t>BEHOUDEN 123Installatieshop</t>
        </is>
      </c>
      <c r="F7" t="inlineStr">
        <is>
          <t>€0</t>
        </is>
      </c>
    </row>
    <row r="8">
      <c r="A8" t="inlineStr">
        <is>
          <t>4</t>
        </is>
      </c>
      <c r="B8" t="inlineStr">
        <is>
          <t>MAGNUM PE-RT 12×1,5 300 m</t>
        </is>
      </c>
      <c r="C8" t="inlineStr">
        <is>
          <t>123InstallatieMaterialen €142,93</t>
        </is>
      </c>
      <c r="D8" t="inlineStr">
        <is>
          <t>Klusspullen €141,95 maar voorraad 0 / levertijd 1–2 wkn → afgewezen; Elektramat €181,86; VV-shop €164,70</t>
        </is>
      </c>
      <c r="E8" t="inlineStr">
        <is>
          <t>BEHOUDEN 123IM</t>
        </is>
      </c>
      <c r="F8" t="inlineStr">
        <is>
          <t>€0</t>
        </is>
      </c>
    </row>
    <row r="9">
      <c r="A9" t="inlineStr">
        <is>
          <t>5a</t>
        </is>
      </c>
      <c r="B9" t="inlineStr">
        <is>
          <t>Möhlenhoff Alpha 5 ×4 (altijd)</t>
        </is>
      </c>
      <c r="C9" t="inlineStr">
        <is>
          <t>VerwarmingOnline €20,12 → €80,48</t>
        </is>
      </c>
      <c r="D9" t="inlineStr">
        <is>
          <t>eibhandel.de €9,99 + NL-verzending ~€15,41 = ~€55,37; Amazon.nl ~€13,16/st met Prime</t>
        </is>
      </c>
      <c r="E9" t="inlineStr">
        <is>
          <t>GEWIJZIGD → eibhandel</t>
        </is>
      </c>
      <c r="F9" t="inlineStr">
        <is>
          <t>~€25</t>
        </is>
      </c>
    </row>
    <row r="10">
      <c r="A10" t="inlineStr">
        <is>
          <t>5b</t>
        </is>
      </c>
      <c r="B10" t="inlineStr">
        <is>
          <t>MAGNUM H64-CC + master (optie)</t>
        </is>
      </c>
      <c r="C10" t="inlineStr">
        <is>
          <t>123IM €213,74</t>
        </is>
      </c>
      <c r="D10" t="inlineStr">
        <is>
          <t>Warp Systems €194,92 (1 wd)</t>
        </is>
      </c>
      <c r="E10" t="inlineStr">
        <is>
          <t>GEWIJZIGD → Warp</t>
        </is>
      </c>
      <c r="F10" t="inlineStr">
        <is>
          <t>~€19</t>
        </is>
      </c>
    </row>
    <row r="12">
      <c r="A12" t="inlineStr">
        <is>
          <t>Niet meegenomen</t>
        </is>
      </c>
    </row>
    <row r="13">
      <c r="A13" t="inlineStr">
        <is>
          <t>• PioTek DE (~€9,90): verzendt niet meer naar NL.</t>
        </is>
      </c>
    </row>
    <row r="14">
      <c r="A14" t="inlineStr">
        <is>
          <t>• Bouwmaat SlimFit €86,50: tijdelijk niet beschikbaar / geen bezorging.</t>
        </is>
      </c>
    </row>
    <row r="15">
      <c r="A15" t="inlineStr">
        <is>
          <t>• Klusspullen PE-RT €141,95: goedkoper op papier, maar 0 voorraad / 1–2 weken.</t>
        </is>
      </c>
    </row>
    <row r="16">
      <c r="A16" t="inlineStr">
        <is>
          <t>• Tado: officiële tado° Shop blijft goedkoopst (bol/retail vaak duurder).</t>
        </is>
      </c>
    </row>
    <row r="18">
      <c r="A18" t="inlineStr">
        <is>
          <t>All-in met verzending: zie sheet Verzending (egaline pallet + eibhandel DE→NL).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KOPJE: Vloerverwarming — Tado</t>
        </is>
      </c>
    </row>
    <row r="2">
      <c r="A2">
        <f>Parameters!B6&amp;" ruimten · "&amp;Parameters!B5&amp;" groepen · "&amp;Parameters!B4&amp;" m²"</f>
        <v/>
      </c>
    </row>
    <row r="4">
      <c r="A4" t="inlineStr">
        <is>
          <t>Ruimte</t>
        </is>
      </c>
      <c r="B4" t="inlineStr">
        <is>
          <t>Groepen</t>
        </is>
      </c>
      <c r="C4" t="inlineStr">
        <is>
          <t>Tado</t>
        </is>
      </c>
      <c r="D4" t="inlineStr">
        <is>
          <t>Actuators</t>
        </is>
      </c>
    </row>
    <row r="5">
      <c r="A5" t="inlineStr">
        <is>
          <t>Ruimte 1 (groot)</t>
        </is>
      </c>
      <c r="B5" t="inlineStr">
        <is>
          <t>meerdere mogelijk</t>
        </is>
      </c>
      <c r="C5" t="inlineStr">
        <is>
          <t>Bedraad X (+ Bridge in starter)</t>
        </is>
      </c>
      <c r="D5" t="inlineStr">
        <is>
          <t>parallel op 1 thermostaat</t>
        </is>
      </c>
    </row>
    <row r="6">
      <c r="A6" t="inlineStr">
        <is>
          <t>Ruimte 2…N</t>
        </is>
      </c>
      <c r="B6" t="inlineStr">
        <is>
          <t>1 per ruimte typisch</t>
        </is>
      </c>
      <c r="C6" t="inlineStr">
        <is>
          <t>Bedraad X uitbreiding</t>
        </is>
      </c>
      <c r="D6" t="inlineStr">
        <is>
          <t>1 actuator / groep</t>
        </is>
      </c>
    </row>
    <row r="8">
      <c r="A8" t="inlineStr">
        <is>
          <t>Exacte groepsverdeling is situatiespecifiek; totalen schalen via Parameters.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3" max="3"/>
  </cols>
  <sheetData>
    <row r="1">
      <c r="A1" t="inlineStr">
        <is>
          <t>KOPJE: Vloerverwarming — checklist (hoeveelheden = live uit Boodschappenlijst)</t>
        </is>
      </c>
    </row>
    <row r="3">
      <c r="A3" s="4" t="inlineStr">
        <is>
          <t>Artikel</t>
        </is>
      </c>
      <c r="B3" s="4" t="inlineStr">
        <is>
          <t>Qty</t>
        </is>
      </c>
      <c r="C3" s="4" t="inlineStr">
        <is>
          <t>Webshop</t>
        </is>
      </c>
      <c r="D3" s="4" t="inlineStr">
        <is>
          <t>Prijs/st</t>
        </is>
      </c>
      <c r="E3" s="4" t="inlineStr">
        <is>
          <t>Totaal</t>
        </is>
      </c>
      <c r="F3" s="4" t="inlineStr">
        <is>
          <t>Besteld?</t>
        </is>
      </c>
      <c r="G3" s="4" t="inlineStr">
        <is>
          <t>Ordernr</t>
        </is>
      </c>
    </row>
    <row r="4">
      <c r="A4">
        <f>Boodschappenlijst!E6</f>
        <v/>
      </c>
      <c r="B4">
        <f>Boodschappenlijst!I6</f>
        <v/>
      </c>
      <c r="C4">
        <f>Boodschappenlijst!P6</f>
        <v/>
      </c>
      <c r="D4" s="5">
        <f>Boodschappenlijst!K6</f>
        <v/>
      </c>
      <c r="E4" s="5">
        <f>Boodschappenlijst!N6</f>
        <v/>
      </c>
      <c r="F4" t="inlineStr">
        <is>
          <t>Nee</t>
        </is>
      </c>
    </row>
    <row r="5">
      <c r="A5">
        <f>Boodschappenlijst!E7</f>
        <v/>
      </c>
      <c r="B5">
        <f>Boodschappenlijst!I7</f>
        <v/>
      </c>
      <c r="C5">
        <f>Boodschappenlijst!P7</f>
        <v/>
      </c>
      <c r="D5" s="5">
        <f>Boodschappenlijst!K7</f>
        <v/>
      </c>
      <c r="E5" s="5">
        <f>Boodschappenlijst!N7</f>
        <v/>
      </c>
      <c r="F5" t="inlineStr">
        <is>
          <t>Nee</t>
        </is>
      </c>
    </row>
    <row r="6">
      <c r="A6">
        <f>Boodschappenlijst!E8</f>
        <v/>
      </c>
      <c r="B6">
        <f>Boodschappenlijst!I8</f>
        <v/>
      </c>
      <c r="C6">
        <f>Boodschappenlijst!P8</f>
        <v/>
      </c>
      <c r="D6" s="5">
        <f>Boodschappenlijst!K8</f>
        <v/>
      </c>
      <c r="E6" s="5">
        <f>Boodschappenlijst!N8</f>
        <v/>
      </c>
      <c r="F6" t="inlineStr">
        <is>
          <t>Nee</t>
        </is>
      </c>
    </row>
    <row r="7">
      <c r="A7">
        <f>Boodschappenlijst!E9</f>
        <v/>
      </c>
      <c r="B7">
        <f>Boodschappenlijst!I9</f>
        <v/>
      </c>
      <c r="C7">
        <f>Boodschappenlijst!P9</f>
        <v/>
      </c>
      <c r="D7" s="5">
        <f>Boodschappenlijst!K9</f>
        <v/>
      </c>
      <c r="E7" s="5">
        <f>Boodschappenlijst!N9</f>
        <v/>
      </c>
      <c r="F7" t="inlineStr">
        <is>
          <t>Nee</t>
        </is>
      </c>
    </row>
    <row r="8">
      <c r="A8">
        <f>Boodschappenlijst!E10</f>
        <v/>
      </c>
      <c r="B8">
        <f>Boodschappenlijst!I10</f>
        <v/>
      </c>
      <c r="C8">
        <f>Boodschappenlijst!P10</f>
        <v/>
      </c>
      <c r="D8" s="5">
        <f>Boodschappenlijst!K10</f>
        <v/>
      </c>
      <c r="E8" s="5">
        <f>Boodschappenlijst!N10</f>
        <v/>
      </c>
      <c r="F8" t="inlineStr">
        <is>
          <t>Nee</t>
        </is>
      </c>
    </row>
    <row r="9">
      <c r="A9">
        <f>Boodschappenlijst!E11</f>
        <v/>
      </c>
      <c r="B9">
        <f>Boodschappenlijst!I11</f>
        <v/>
      </c>
      <c r="C9">
        <f>Boodschappenlijst!P11</f>
        <v/>
      </c>
      <c r="D9" s="5">
        <f>Boodschappenlijst!K11</f>
        <v/>
      </c>
      <c r="E9" s="5">
        <f>Boodschappenlijst!N11</f>
        <v/>
      </c>
      <c r="F9" t="inlineStr">
        <is>
          <t>Nee</t>
        </is>
      </c>
    </row>
    <row r="10">
      <c r="A10">
        <f>Boodschappenlijst!E12</f>
        <v/>
      </c>
      <c r="B10">
        <f>Boodschappenlijst!I12</f>
        <v/>
      </c>
      <c r="C10">
        <f>Boodschappenlijst!P12</f>
        <v/>
      </c>
      <c r="D10" s="5">
        <f>Boodschappenlijst!K12</f>
        <v/>
      </c>
      <c r="E10" s="5">
        <f>Boodschappenlijst!N12</f>
        <v/>
      </c>
      <c r="F10" t="inlineStr">
        <is>
          <t>Nee</t>
        </is>
      </c>
    </row>
    <row r="11">
      <c r="A11">
        <f>Boodschappenlijst!E13</f>
        <v/>
      </c>
      <c r="B11">
        <f>Boodschappenlijst!I13</f>
        <v/>
      </c>
      <c r="C11">
        <f>Boodschappenlijst!P13</f>
        <v/>
      </c>
      <c r="D11" s="5">
        <f>Boodschappenlijst!K13</f>
        <v/>
      </c>
      <c r="E11" s="5">
        <f>Boodschappenlijst!N13</f>
        <v/>
      </c>
      <c r="F11" t="inlineStr">
        <is>
          <t>Nee</t>
        </is>
      </c>
    </row>
    <row r="12">
      <c r="A12">
        <f>Boodschappenlijst!E14</f>
        <v/>
      </c>
      <c r="B12">
        <f>Boodschappenlijst!I14</f>
        <v/>
      </c>
      <c r="C12">
        <f>Boodschappenlijst!P14</f>
        <v/>
      </c>
      <c r="D12" s="5">
        <f>Boodschappenlijst!K14</f>
        <v/>
      </c>
      <c r="E12" s="5">
        <f>Boodschappenlijst!N14</f>
        <v/>
      </c>
      <c r="F12" t="inlineStr">
        <is>
          <t>Nee</t>
        </is>
      </c>
    </row>
    <row r="13">
      <c r="A13">
        <f>Boodschappenlijst!E15</f>
        <v/>
      </c>
      <c r="B13">
        <f>Boodschappenlijst!I15</f>
        <v/>
      </c>
      <c r="C13">
        <f>Boodschappenlijst!P15</f>
        <v/>
      </c>
      <c r="D13" s="5">
        <f>Boodschappenlijst!K15</f>
        <v/>
      </c>
      <c r="E13" s="5">
        <f>Boodschappenlijst!N15</f>
        <v/>
      </c>
      <c r="F13" t="inlineStr">
        <is>
          <t>Nee</t>
        </is>
      </c>
    </row>
    <row r="14">
      <c r="A14">
        <f>Boodschappenlijst!E16</f>
        <v/>
      </c>
      <c r="B14">
        <f>Boodschappenlijst!I16</f>
        <v/>
      </c>
      <c r="C14">
        <f>Boodschappenlijst!P16</f>
        <v/>
      </c>
      <c r="D14" s="5">
        <f>Boodschappenlijst!K16</f>
        <v/>
      </c>
      <c r="E14" s="5">
        <f>Boodschappenlijst!N16</f>
        <v/>
      </c>
      <c r="F14" t="inlineStr">
        <is>
          <t>Nee</t>
        </is>
      </c>
    </row>
    <row r="15">
      <c r="A15">
        <f>Boodschappenlijst!E17</f>
        <v/>
      </c>
      <c r="B15">
        <f>Boodschappenlijst!I17</f>
        <v/>
      </c>
      <c r="C15">
        <f>Boodschappenlijst!P17</f>
        <v/>
      </c>
      <c r="D15" s="5">
        <f>Boodschappenlijst!K17</f>
        <v/>
      </c>
      <c r="E15" s="5">
        <f>Boodschappenlijst!N17</f>
        <v/>
      </c>
      <c r="F15" t="inlineStr">
        <is>
          <t>Nee</t>
        </is>
      </c>
    </row>
    <row r="16">
      <c r="A16">
        <f>Boodschappenlijst!E18</f>
        <v/>
      </c>
      <c r="B16">
        <f>Boodschappenlijst!I18</f>
        <v/>
      </c>
      <c r="C16">
        <f>Boodschappenlijst!P18</f>
        <v/>
      </c>
      <c r="D16" s="5">
        <f>Boodschappenlijst!K18</f>
        <v/>
      </c>
      <c r="E16" s="5">
        <f>Boodschappenlijst!N18</f>
        <v/>
      </c>
      <c r="F16" t="inlineStr">
        <is>
          <t>Nee</t>
        </is>
      </c>
    </row>
    <row r="17">
      <c r="A17">
        <f>Boodschappenlijst!E19</f>
        <v/>
      </c>
      <c r="B17">
        <f>Boodschappenlijst!I19</f>
        <v/>
      </c>
      <c r="C17">
        <f>Boodschappenlijst!P19</f>
        <v/>
      </c>
      <c r="D17" s="5">
        <f>Boodschappenlijst!K19</f>
        <v/>
      </c>
      <c r="E17" s="5">
        <f>Boodschappenlijst!N19</f>
        <v/>
      </c>
      <c r="F17" t="inlineStr">
        <is>
          <t>Nee</t>
        </is>
      </c>
    </row>
    <row r="18">
      <c r="A18">
        <f>Boodschappenlijst!E20</f>
        <v/>
      </c>
      <c r="B18">
        <f>Boodschappenlijst!I20</f>
        <v/>
      </c>
      <c r="C18">
        <f>Boodschappenlijst!P20</f>
        <v/>
      </c>
      <c r="D18" s="5">
        <f>Boodschappenlijst!K20</f>
        <v/>
      </c>
      <c r="E18" s="5">
        <f>Boodschappenlijst!N20</f>
        <v/>
      </c>
      <c r="F18" t="inlineStr">
        <is>
          <t>Nee</t>
        </is>
      </c>
    </row>
    <row r="19">
      <c r="A19">
        <f>Boodschappenlijst!E21</f>
        <v/>
      </c>
      <c r="B19">
        <f>Boodschappenlijst!I21</f>
        <v/>
      </c>
      <c r="C19">
        <f>Boodschappenlijst!P21</f>
        <v/>
      </c>
      <c r="D19" s="5">
        <f>Boodschappenlijst!K21</f>
        <v/>
      </c>
      <c r="E19" s="5">
        <f>Boodschappenlijst!N21</f>
        <v/>
      </c>
      <c r="F19" t="inlineStr">
        <is>
          <t>Nee</t>
        </is>
      </c>
    </row>
    <row r="20">
      <c r="A20">
        <f>Boodschappenlijst!E22</f>
        <v/>
      </c>
      <c r="B20">
        <f>Boodschappenlijst!I22</f>
        <v/>
      </c>
      <c r="C20">
        <f>Boodschappenlijst!P22</f>
        <v/>
      </c>
      <c r="D20" s="5">
        <f>Boodschappenlijst!K22</f>
        <v/>
      </c>
      <c r="E20" s="5">
        <f>Boodschappenlijst!N22</f>
        <v/>
      </c>
      <c r="F20" t="inlineStr">
        <is>
          <t>Nee</t>
        </is>
      </c>
    </row>
    <row r="21">
      <c r="A21">
        <f>Boodschappenlijst!E23</f>
        <v/>
      </c>
      <c r="B21">
        <f>Boodschappenlijst!I23</f>
        <v/>
      </c>
      <c r="C21">
        <f>Boodschappenlijst!P23</f>
        <v/>
      </c>
      <c r="D21" s="5">
        <f>Boodschappenlijst!K23</f>
        <v/>
      </c>
      <c r="E21" s="5">
        <f>Boodschappenlijst!N23</f>
        <v/>
      </c>
      <c r="F21" t="inlineStr">
        <is>
          <t>Nee</t>
        </is>
      </c>
    </row>
    <row r="22">
      <c r="A22">
        <f>Boodschappenlijst!E24</f>
        <v/>
      </c>
      <c r="B22">
        <f>Boodschappenlijst!I24</f>
        <v/>
      </c>
      <c r="C22">
        <f>Boodschappenlijst!P24</f>
        <v/>
      </c>
      <c r="D22" s="5">
        <f>Boodschappenlijst!K24</f>
        <v/>
      </c>
      <c r="E22" s="5">
        <f>Boodschappenlijst!N24</f>
        <v/>
      </c>
      <c r="F22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2026-08-22T16:39:35Z</dcterms:created>
  <dcterms:modified xsi:type="dcterms:W3CDTF">2026-08-22T17:06:24Z</dcterms:modified>
</cp:coreProperties>
</file>